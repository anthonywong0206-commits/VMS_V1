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oyinwong\Desktop\Anthony\F. 行政及財政\義工時數紀錄\2026\June\"/>
    </mc:Choice>
  </mc:AlternateContent>
  <xr:revisionPtr revIDLastSave="0" documentId="13_ncr:1_{C1558D3F-D931-4336-BE00-90351E1A9D8D}" xr6:coauthVersionLast="36" xr6:coauthVersionMax="36" xr10:uidLastSave="{00000000-0000-0000-0000-000000000000}"/>
  <bookViews>
    <workbookView xWindow="0" yWindow="0" windowWidth="28800" windowHeight="12180" firstSheet="2" activeTab="4" xr2:uid="{00000000-000D-0000-FFFF-FFFF00000000}"/>
  </bookViews>
  <sheets>
    <sheet name="連鳳儀" sheetId="14" r:id="rId1"/>
    <sheet name="張瑞虹" sheetId="2" r:id="rId2"/>
    <sheet name="張瑞兒" sheetId="3" r:id="rId3"/>
    <sheet name="張詠蘭" sheetId="4" r:id="rId4"/>
    <sheet name="蔡健文" sheetId="5" r:id="rId5"/>
    <sheet name="聶桂芳" sheetId="6" r:id="rId6"/>
    <sheet name="區黃玉琴" sheetId="7" r:id="rId7"/>
    <sheet name="陳玉玲" sheetId="8" r:id="rId8"/>
    <sheet name="杜群芳" sheetId="15" r:id="rId9"/>
    <sheet name="高秀珍" sheetId="10" r:id="rId10"/>
    <sheet name="陳好定" sheetId="11" r:id="rId11"/>
    <sheet name="李嘉俊" sheetId="12" r:id="rId12"/>
    <sheet name="彭錦華" sheetId="17" r:id="rId13"/>
    <sheet name="楊耀榮" sheetId="18" r:id="rId14"/>
    <sheet name="工作表1" sheetId="13" r:id="rId15"/>
  </sheets>
  <definedNames>
    <definedName name="_xlnm._FilterDatabase" localSheetId="0" hidden="1">連鳳儀!$B$6:$N$10</definedName>
  </definedNames>
  <calcPr calcId="191029"/>
  <extLst>
    <ext uri="GoogleSheetsCustomDataVersion1">
      <go:sheetsCustomData xmlns:go="http://customooxmlschemas.google.com/" r:id="rId16" roundtripDataSignature="AMtx7mgecp+NuDw6v8LlO+p7t4Qg6EPL0g=="/>
    </ext>
  </extLst>
</workbook>
</file>

<file path=xl/calcChain.xml><?xml version="1.0" encoding="utf-8"?>
<calcChain xmlns="http://schemas.openxmlformats.org/spreadsheetml/2006/main">
  <c r="F13" i="10" l="1"/>
  <c r="F11" i="3" l="1"/>
  <c r="M11" i="3"/>
  <c r="F13" i="12" l="1"/>
  <c r="F9" i="11"/>
  <c r="M13" i="10"/>
  <c r="F15" i="8"/>
  <c r="F9" i="7"/>
  <c r="F9" i="6"/>
  <c r="F12" i="2"/>
  <c r="F13" i="18" l="1"/>
  <c r="M12" i="2" l="1"/>
  <c r="F11" i="4"/>
  <c r="F10" i="5"/>
  <c r="M10" i="5"/>
  <c r="M11" i="4"/>
  <c r="F8" i="17" l="1"/>
  <c r="M8" i="17" l="1"/>
  <c r="M9" i="7"/>
  <c r="M9" i="6"/>
  <c r="M9" i="11" l="1"/>
  <c r="F8" i="14" l="1"/>
  <c r="M8" i="14" l="1"/>
  <c r="F8" i="15"/>
  <c r="M15" i="8" l="1"/>
  <c r="M8" i="15"/>
  <c r="M13" i="18" l="1"/>
  <c r="J22" i="8" l="1"/>
  <c r="F18" i="18" l="1"/>
  <c r="J18" i="18" s="1"/>
  <c r="F14" i="15"/>
  <c r="J14" i="15" s="1"/>
  <c r="J19" i="18"/>
  <c r="J14" i="17"/>
  <c r="F13" i="17"/>
  <c r="J13" i="17" s="1"/>
  <c r="F14" i="14" l="1"/>
  <c r="M13" i="12" l="1"/>
  <c r="J19" i="12" s="1"/>
  <c r="F18" i="12"/>
  <c r="J18" i="12" s="1"/>
  <c r="J15" i="15" l="1"/>
  <c r="J15" i="14" l="1"/>
  <c r="J14" i="14"/>
  <c r="J16" i="11" l="1"/>
  <c r="F15" i="11"/>
  <c r="J15" i="11" s="1"/>
  <c r="J20" i="10"/>
  <c r="F19" i="10"/>
  <c r="J19" i="10" s="1"/>
  <c r="F21" i="8"/>
  <c r="J21" i="8" s="1"/>
  <c r="J16" i="7"/>
  <c r="F15" i="7"/>
  <c r="J15" i="7" s="1"/>
  <c r="J16" i="6"/>
  <c r="F15" i="6"/>
  <c r="J15" i="6" s="1"/>
  <c r="J17" i="5"/>
  <c r="F16" i="5"/>
  <c r="J16" i="5" s="1"/>
  <c r="J18" i="4"/>
  <c r="F17" i="4"/>
  <c r="J17" i="4" s="1"/>
  <c r="J18" i="3"/>
  <c r="F17" i="3"/>
  <c r="J17" i="3" s="1"/>
  <c r="J19" i="2"/>
  <c r="F18" i="2"/>
  <c r="J18" i="2" s="1"/>
</calcChain>
</file>

<file path=xl/sharedStrings.xml><?xml version="1.0" encoding="utf-8"?>
<sst xmlns="http://schemas.openxmlformats.org/spreadsheetml/2006/main" count="768" uniqueCount="99">
  <si>
    <t>賽馬會樂齡同行計劃</t>
  </si>
  <si>
    <t xml:space="preserve">樂齡之友 服務時數紀錄表 + 交通費申請表 </t>
  </si>
  <si>
    <t>樂齡之友：</t>
  </si>
  <si>
    <t>服務月份：</t>
  </si>
  <si>
    <t>服務年份：</t>
  </si>
  <si>
    <t>日期</t>
  </si>
  <si>
    <t>服務對象</t>
  </si>
  <si>
    <t>到達時間</t>
  </si>
  <si>
    <t>離開時間</t>
  </si>
  <si>
    <r>
      <rPr>
        <b/>
        <sz val="16"/>
        <color theme="1"/>
        <rFont val="Microsoft JhengHei"/>
        <family val="2"/>
        <charset val="136"/>
      </rPr>
      <t>服務時數</t>
    </r>
    <r>
      <rPr>
        <b/>
        <vertAlign val="superscript"/>
        <sz val="16"/>
        <color theme="1"/>
        <rFont val="Microsoft JhengHei"/>
        <family val="2"/>
        <charset val="136"/>
      </rPr>
      <t>1</t>
    </r>
  </si>
  <si>
    <r>
      <rPr>
        <b/>
        <sz val="16"/>
        <color theme="1"/>
        <rFont val="Microsoft JhengHei"/>
        <family val="2"/>
        <charset val="136"/>
      </rPr>
      <t>服務形式</t>
    </r>
    <r>
      <rPr>
        <b/>
        <vertAlign val="superscript"/>
        <sz val="16"/>
        <color theme="1"/>
        <rFont val="Microsoft JhengHei"/>
        <family val="2"/>
        <charset val="136"/>
      </rPr>
      <t>2</t>
    </r>
  </si>
  <si>
    <t>備註</t>
  </si>
  <si>
    <t>出發地</t>
  </si>
  <si>
    <t>目的地</t>
  </si>
  <si>
    <t>交通工具</t>
  </si>
  <si>
    <t>交通費</t>
  </si>
  <si>
    <t>負責職員簽署</t>
  </si>
  <si>
    <t>總服務時數：</t>
  </si>
  <si>
    <t>小時</t>
  </si>
  <si>
    <t>交通費總和：</t>
  </si>
  <si>
    <t>1 服務時數以小時為單位；每 30 分鐘計 0.5 小時（如適用）。</t>
  </si>
  <si>
    <t>2 服務形式：1.上門/外出接觸及探訪　2.電話聯絡/慰問　3.陪同及協助參與小組　4. 陪同及協助參與其他社區活動　5.協助連繫社區資源　6.其他（在備註列明）</t>
  </si>
  <si>
    <t>以下資料由計劃職員填寫：-</t>
  </si>
  <si>
    <t>樂齡之友津貼/薪金計算 ：</t>
  </si>
  <si>
    <t>　　　$</t>
  </si>
  <si>
    <t>樂齡之友交通費計算 ：</t>
  </si>
  <si>
    <r>
      <rPr>
        <b/>
        <sz val="12"/>
        <color theme="1"/>
        <rFont val="Microsoft JhengHei"/>
        <family val="2"/>
        <charset val="136"/>
      </rPr>
      <t>=</t>
    </r>
    <r>
      <rPr>
        <b/>
        <sz val="12"/>
        <color theme="0"/>
        <rFont val="Microsoft JhengHei"/>
        <family val="2"/>
        <charset val="136"/>
      </rPr>
      <t>．</t>
    </r>
  </si>
  <si>
    <t>樂齡之友同意及簽署：</t>
  </si>
  <si>
    <t>計劃負責職員簽署：</t>
  </si>
  <si>
    <t>（</t>
  </si>
  <si>
    <t>）</t>
  </si>
  <si>
    <t xml:space="preserve">日期： </t>
  </si>
  <si>
    <t>日期：</t>
  </si>
  <si>
    <t>備註：</t>
  </si>
  <si>
    <t>1. 申請的津貼/薪金不包含午膳時間。</t>
  </si>
  <si>
    <t>2. 津貼/薪金以月份計算，樂齡之友每月均須填寫，及月內呈報予中心，以作核對之用，並簽名作實。</t>
  </si>
  <si>
    <t>3. 如有需要，樂齡之友可向機構索取有關服務時數紀錄以核實津貼/薪金。</t>
  </si>
  <si>
    <t>4. 津貼/薪金以半小時計算。(按機構需要調整)</t>
  </si>
  <si>
    <t>賽馬會樂齡同行計劃  表格 6 &amp; 7 - 樂齡之友服務時數紀錄表 + 交通費申請表   (2020年6月版本)</t>
  </si>
  <si>
    <t>）</t>
    <phoneticPr fontId="12" type="noConversion"/>
  </si>
  <si>
    <t>（</t>
    <phoneticPr fontId="12" type="noConversion"/>
  </si>
  <si>
    <t>高秀珍</t>
    <phoneticPr fontId="12" type="noConversion"/>
  </si>
  <si>
    <t>連鳳儀</t>
    <phoneticPr fontId="12" type="noConversion"/>
  </si>
  <si>
    <t>張瑞虹</t>
    <phoneticPr fontId="12" type="noConversion"/>
  </si>
  <si>
    <t>張瑞兒</t>
    <phoneticPr fontId="12" type="noConversion"/>
  </si>
  <si>
    <t>張詠蘭</t>
    <phoneticPr fontId="12" type="noConversion"/>
  </si>
  <si>
    <t>蔡健文</t>
    <phoneticPr fontId="12" type="noConversion"/>
  </si>
  <si>
    <t>聶桂芳</t>
    <phoneticPr fontId="12" type="noConversion"/>
  </si>
  <si>
    <t>區黃玉琴</t>
    <phoneticPr fontId="12" type="noConversion"/>
  </si>
  <si>
    <t>陳玉玲</t>
    <phoneticPr fontId="12" type="noConversion"/>
  </si>
  <si>
    <t>陳好定</t>
    <phoneticPr fontId="12" type="noConversion"/>
  </si>
  <si>
    <t>李嘉俊</t>
    <phoneticPr fontId="12" type="noConversion"/>
  </si>
  <si>
    <r>
      <t>x　$75　=</t>
    </r>
    <r>
      <rPr>
        <b/>
        <sz val="12"/>
        <color theme="0"/>
        <rFont val="Microsoft JhengHei"/>
        <family val="2"/>
        <charset val="136"/>
      </rPr>
      <t>．</t>
    </r>
    <phoneticPr fontId="12" type="noConversion"/>
  </si>
  <si>
    <t>杜群芳</t>
  </si>
  <si>
    <t>杜群芳</t>
    <phoneticPr fontId="12" type="noConversion"/>
  </si>
  <si>
    <t>2 服務形式：1.上門/外出接觸及探訪　2.電話聯絡/慰問　3.陪同及協助參與小組　4. 陪同及協助參與其他社區活動　5.協助連繫社區資源　6.其他（在備註列明）</t>
    <phoneticPr fontId="12" type="noConversion"/>
  </si>
  <si>
    <t>.</t>
    <phoneticPr fontId="12" type="noConversion"/>
  </si>
  <si>
    <t>服務時數</t>
    <phoneticPr fontId="16" type="noConversion"/>
  </si>
  <si>
    <t>督導時數</t>
    <phoneticPr fontId="16" type="noConversion"/>
  </si>
  <si>
    <t>總時數</t>
    <phoneticPr fontId="16" type="noConversion"/>
  </si>
  <si>
    <t>交通費</t>
    <phoneticPr fontId="16" type="noConversion"/>
  </si>
  <si>
    <t>津貼</t>
    <phoneticPr fontId="16" type="noConversion"/>
  </si>
  <si>
    <t>連鳳儀</t>
    <phoneticPr fontId="16" type="noConversion"/>
  </si>
  <si>
    <t>張瑞虹</t>
    <phoneticPr fontId="16" type="noConversion"/>
  </si>
  <si>
    <t>張瑞兒</t>
    <phoneticPr fontId="16" type="noConversion"/>
  </si>
  <si>
    <t>張詠蘭</t>
    <phoneticPr fontId="16" type="noConversion"/>
  </si>
  <si>
    <t>蔡健文</t>
    <phoneticPr fontId="16" type="noConversion"/>
  </si>
  <si>
    <t>聶桂芳</t>
    <phoneticPr fontId="16" type="noConversion"/>
  </si>
  <si>
    <t>區黃玉琴</t>
    <phoneticPr fontId="16" type="noConversion"/>
  </si>
  <si>
    <t>陳玉玲</t>
    <phoneticPr fontId="16" type="noConversion"/>
  </si>
  <si>
    <t>杜群芳</t>
    <phoneticPr fontId="16" type="noConversion"/>
  </si>
  <si>
    <t>高秀珍</t>
    <phoneticPr fontId="16" type="noConversion"/>
  </si>
  <si>
    <t>陳好定</t>
    <phoneticPr fontId="16" type="noConversion"/>
  </si>
  <si>
    <t>李嘉俊</t>
    <phoneticPr fontId="16" type="noConversion"/>
  </si>
  <si>
    <t>彭錦華</t>
    <phoneticPr fontId="12" type="noConversion"/>
  </si>
  <si>
    <t>楊耀榮</t>
    <phoneticPr fontId="12" type="noConversion"/>
  </si>
  <si>
    <t>1 服務時數以小時為單位；每 30 分鐘計 0.5 小時（如適用）。</t>
    <phoneticPr fontId="12" type="noConversion"/>
  </si>
  <si>
    <t xml:space="preserve">     </t>
    <phoneticPr fontId="12" type="noConversion"/>
  </si>
  <si>
    <t>2 服務形式：1.上門/外出接觸及探訪　2.電話聯絡/慰問　3.陪同及協助參與小組　4. 陪同及協助參與其他社區活動　5.協助連繫社區資源　6.其他（在備註列明）</t>
    <phoneticPr fontId="12" type="noConversion"/>
  </si>
  <si>
    <t>/</t>
    <phoneticPr fontId="12" type="noConversion"/>
  </si>
  <si>
    <t>督導會議(樂齡之友會議)</t>
    <phoneticPr fontId="12" type="noConversion"/>
  </si>
  <si>
    <t>1 服務時數以小時為單位；每 30 分鐘計 0.5 小時（如適用）。</t>
    <phoneticPr fontId="12" type="noConversion"/>
  </si>
  <si>
    <t>袁祉筠</t>
    <phoneticPr fontId="12" type="noConversion"/>
  </si>
  <si>
    <t>督導會議</t>
    <phoneticPr fontId="12" type="noConversion"/>
  </si>
  <si>
    <t>邱先民</t>
  </si>
  <si>
    <t>胡玉英</t>
    <phoneticPr fontId="12" type="noConversion"/>
  </si>
  <si>
    <t>天后</t>
    <phoneticPr fontId="12" type="noConversion"/>
  </si>
  <si>
    <t>紅磡</t>
    <phoneticPr fontId="12" type="noConversion"/>
  </si>
  <si>
    <t>王瑜珍</t>
  </si>
  <si>
    <t>王杏娣</t>
  </si>
  <si>
    <t>梁寧珊</t>
  </si>
  <si>
    <t>溫金蓮</t>
  </si>
  <si>
    <t>陳彩娟</t>
  </si>
  <si>
    <t>/</t>
    <phoneticPr fontId="12" type="noConversion"/>
  </si>
  <si>
    <t>帶領端午節慶活動</t>
    <phoneticPr fontId="12" type="noConversion"/>
  </si>
  <si>
    <t>督導會議</t>
  </si>
  <si>
    <t>協助PS帶領節慶活動</t>
    <phoneticPr fontId="12" type="noConversion"/>
  </si>
  <si>
    <t>/</t>
    <phoneticPr fontId="12" type="noConversion"/>
  </si>
  <si>
    <t>地鐵 (來回)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</si>
</sst>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HK$&quot;#,##0.00_);[Red]\(&quot;HK$&quot;#,##0.00\)"/>
    <numFmt numFmtId="176" formatCode="&quot;$&quot;#,##0.00"/>
  </numFmts>
  <fonts count="17">
    <font>
      <sz val="12"/>
      <color theme="1"/>
      <name val="Arial"/>
    </font>
    <font>
      <sz val="12"/>
      <color theme="1"/>
      <name val="Microsoft JhengHei"/>
      <family val="2"/>
      <charset val="136"/>
    </font>
    <font>
      <b/>
      <sz val="18"/>
      <color theme="1"/>
      <name val="Microsoft JhengHei"/>
      <family val="2"/>
      <charset val="136"/>
    </font>
    <font>
      <b/>
      <sz val="14"/>
      <color theme="1"/>
      <name val="Microsoft JhengHei"/>
      <family val="2"/>
      <charset val="136"/>
    </font>
    <font>
      <b/>
      <sz val="16"/>
      <color theme="1"/>
      <name val="Microsoft JhengHei"/>
      <family val="2"/>
      <charset val="136"/>
    </font>
    <font>
      <sz val="12"/>
      <name val="Arial"/>
      <family val="2"/>
    </font>
    <font>
      <sz val="14"/>
      <color theme="1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b/>
      <sz val="8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b/>
      <vertAlign val="superscript"/>
      <sz val="16"/>
      <color theme="1"/>
      <name val="Microsoft JhengHei"/>
      <family val="2"/>
      <charset val="136"/>
    </font>
    <font>
      <b/>
      <sz val="12"/>
      <color theme="0"/>
      <name val="Microsoft JhengHei"/>
      <family val="2"/>
      <charset val="136"/>
    </font>
    <font>
      <sz val="9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theme="1"/>
      <name val="微軟正黑體"/>
      <family val="2"/>
      <charset val="136"/>
    </font>
    <font>
      <sz val="12"/>
      <color theme="1"/>
      <name val="Arial"/>
      <family val="2"/>
    </font>
    <font>
      <sz val="9"/>
      <name val="Calibri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5" fillId="0" borderId="21"/>
  </cellStyleXfs>
  <cellXfs count="157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7" fillId="4" borderId="20" xfId="0" applyFont="1" applyFill="1" applyBorder="1" applyAlignment="1">
      <alignment horizontal="right" wrapText="1"/>
    </xf>
    <xf numFmtId="0" fontId="7" fillId="4" borderId="20" xfId="0" applyFont="1" applyFill="1" applyBorder="1" applyAlignment="1">
      <alignment horizontal="center" wrapText="1"/>
    </xf>
    <xf numFmtId="0" fontId="7" fillId="4" borderId="21" xfId="0" applyFont="1" applyFill="1" applyBorder="1" applyAlignment="1">
      <alignment horizontal="right" wrapText="1"/>
    </xf>
    <xf numFmtId="0" fontId="7" fillId="4" borderId="20" xfId="0" applyFont="1" applyFill="1" applyBorder="1" applyAlignment="1">
      <alignment wrapText="1"/>
    </xf>
    <xf numFmtId="0" fontId="1" fillId="4" borderId="21" xfId="0" applyFont="1" applyFill="1" applyBorder="1" applyAlignment="1">
      <alignment vertical="center"/>
    </xf>
    <xf numFmtId="0" fontId="7" fillId="4" borderId="21" xfId="0" applyFont="1" applyFill="1" applyBorder="1" applyAlignment="1">
      <alignment wrapText="1"/>
    </xf>
    <xf numFmtId="0" fontId="7" fillId="4" borderId="22" xfId="0" applyFont="1" applyFill="1" applyBorder="1" applyAlignment="1">
      <alignment wrapText="1"/>
    </xf>
    <xf numFmtId="0" fontId="7" fillId="4" borderId="23" xfId="0" applyFont="1" applyFill="1" applyBorder="1" applyAlignment="1">
      <alignment horizontal="left" wrapText="1"/>
    </xf>
    <xf numFmtId="0" fontId="7" fillId="4" borderId="21" xfId="0" applyFont="1" applyFill="1" applyBorder="1" applyAlignment="1">
      <alignment horizontal="center" wrapText="1"/>
    </xf>
    <xf numFmtId="0" fontId="7" fillId="4" borderId="21" xfId="0" applyFont="1" applyFill="1" applyBorder="1" applyAlignment="1">
      <alignment horizontal="left" wrapText="1"/>
    </xf>
    <xf numFmtId="0" fontId="7" fillId="4" borderId="22" xfId="0" applyFont="1" applyFill="1" applyBorder="1" applyAlignment="1">
      <alignment horizontal="left" wrapText="1"/>
    </xf>
    <xf numFmtId="0" fontId="1" fillId="4" borderId="24" xfId="0" applyFont="1" applyFill="1" applyBorder="1" applyAlignment="1">
      <alignment vertical="center"/>
    </xf>
    <xf numFmtId="0" fontId="1" fillId="4" borderId="20" xfId="0" applyFont="1" applyFill="1" applyBorder="1" applyAlignment="1">
      <alignment vertical="center"/>
    </xf>
    <xf numFmtId="0" fontId="1" fillId="4" borderId="2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4" borderId="23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4" fillId="3" borderId="27" xfId="0" applyFont="1" applyFill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4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20" fontId="4" fillId="0" borderId="26" xfId="1" applyNumberFormat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6" fontId="4" fillId="0" borderId="25" xfId="0" applyNumberFormat="1" applyFont="1" applyBorder="1" applyAlignment="1">
      <alignment horizontal="center" vertical="center"/>
    </xf>
    <xf numFmtId="0" fontId="4" fillId="3" borderId="2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4" fillId="0" borderId="32" xfId="1" applyFont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6" xfId="0" applyFill="1" applyBorder="1" applyAlignment="1">
      <alignment vertical="center"/>
    </xf>
    <xf numFmtId="176" fontId="7" fillId="4" borderId="23" xfId="0" applyNumberFormat="1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/>
    </xf>
    <xf numFmtId="0" fontId="4" fillId="3" borderId="26" xfId="0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176" fontId="4" fillId="0" borderId="26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2" borderId="26" xfId="0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2" borderId="26" xfId="0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8" fontId="4" fillId="0" borderId="26" xfId="0" applyNumberFormat="1" applyFont="1" applyBorder="1" applyAlignment="1">
      <alignment horizontal="center" vertical="center"/>
    </xf>
    <xf numFmtId="0" fontId="7" fillId="4" borderId="18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4" borderId="18" xfId="0" applyFont="1" applyFill="1" applyBorder="1" applyAlignment="1">
      <alignment horizontal="right" wrapText="1"/>
    </xf>
    <xf numFmtId="0" fontId="5" fillId="0" borderId="19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30" xfId="0" applyFont="1" applyBorder="1" applyAlignment="1">
      <alignment horizontal="right" vertical="center"/>
    </xf>
    <xf numFmtId="0" fontId="4" fillId="0" borderId="33" xfId="0" applyFont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right" vertical="center"/>
    </xf>
    <xf numFmtId="0" fontId="3" fillId="0" borderId="3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6" xfId="0" applyFont="1" applyFill="1" applyBorder="1" applyAlignment="1">
      <alignment horizontal="center"/>
    </xf>
    <xf numFmtId="0" fontId="5" fillId="0" borderId="26" xfId="0" applyFont="1" applyBorder="1" applyAlignment="1">
      <alignment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right" vertical="center"/>
    </xf>
    <xf numFmtId="0" fontId="5" fillId="0" borderId="20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3" fillId="0" borderId="24" xfId="0" applyFont="1" applyBorder="1" applyAlignment="1">
      <alignment horizontal="right" vertical="center"/>
    </xf>
    <xf numFmtId="0" fontId="5" fillId="0" borderId="28" xfId="0" applyFont="1" applyBorder="1" applyAlignment="1">
      <alignment vertical="center"/>
    </xf>
    <xf numFmtId="0" fontId="4" fillId="3" borderId="2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3" fillId="0" borderId="26" xfId="0" applyFont="1" applyBorder="1" applyAlignment="1">
      <alignment horizontal="right" vertical="center"/>
    </xf>
    <xf numFmtId="0" fontId="4" fillId="3" borderId="26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right" vertical="center"/>
    </xf>
    <xf numFmtId="0" fontId="4" fillId="0" borderId="25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4" fillId="2" borderId="3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3" fillId="0" borderId="11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1" xfId="0" applyFont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7" fillId="4" borderId="21" xfId="0" applyFont="1" applyFill="1" applyBorder="1" applyAlignment="1">
      <alignment horizontal="right" wrapText="1"/>
    </xf>
    <xf numFmtId="0" fontId="4" fillId="0" borderId="26" xfId="0" applyFont="1" applyBorder="1" applyAlignment="1">
      <alignment horizontal="center" vertical="center" wrapText="1"/>
    </xf>
    <xf numFmtId="20" fontId="4" fillId="0" borderId="30" xfId="1" applyNumberFormat="1" applyFont="1" applyBorder="1" applyAlignment="1">
      <alignment horizontal="center" vertical="center"/>
    </xf>
    <xf numFmtId="20" fontId="4" fillId="0" borderId="31" xfId="1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</cellXfs>
  <cellStyles count="2">
    <cellStyle name="一般" xfId="0" builtinId="0"/>
    <cellStyle name="一般 2" xfId="1" xr:uid="{71308572-580D-402D-84D9-B364ECC73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FE23-A964-40EF-B6E3-AECDF6E2EAC1}">
  <sheetPr>
    <pageSetUpPr fitToPage="1"/>
  </sheetPr>
  <dimension ref="A1:W991"/>
  <sheetViews>
    <sheetView zoomScale="60" zoomScaleNormal="60" workbookViewId="0">
      <selection activeCell="O26" sqref="O26"/>
    </sheetView>
  </sheetViews>
  <sheetFormatPr defaultColWidth="11.1796875" defaultRowHeight="15"/>
  <cols>
    <col min="1" max="1" width="1.81640625" style="65" customWidth="1"/>
    <col min="2" max="2" width="18.1796875" style="52" customWidth="1"/>
    <col min="3" max="3" width="14.81640625" style="52" customWidth="1"/>
    <col min="4" max="7" width="13.54296875" style="52" customWidth="1"/>
    <col min="8" max="9" width="15.1796875" style="52" customWidth="1"/>
    <col min="10" max="11" width="13.54296875" style="52" customWidth="1"/>
    <col min="12" max="12" width="26.1796875" style="52" bestFit="1" customWidth="1"/>
    <col min="13" max="13" width="12.453125" style="52" customWidth="1"/>
    <col min="14" max="14" width="18.1796875" style="52" customWidth="1"/>
    <col min="15" max="23" width="9" style="52" customWidth="1"/>
    <col min="24" max="16384" width="11.1796875" style="52"/>
  </cols>
  <sheetData>
    <row r="1" spans="2:23" ht="23.4"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</row>
    <row r="2" spans="2:23" ht="23.4"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</row>
    <row r="3" spans="2:23" ht="18"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</row>
    <row r="4" spans="2:23" ht="22.2" thickBot="1">
      <c r="B4" s="2" t="s">
        <v>2</v>
      </c>
      <c r="C4" s="3" t="s">
        <v>42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54"/>
      <c r="P4" s="54"/>
      <c r="Q4" s="54"/>
      <c r="R4" s="54"/>
      <c r="S4" s="54"/>
      <c r="T4" s="54"/>
      <c r="U4" s="54"/>
      <c r="V4" s="54"/>
      <c r="W4" s="54"/>
    </row>
    <row r="5" spans="2:23" ht="18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1"/>
      <c r="P5" s="1"/>
      <c r="Q5" s="1"/>
      <c r="R5" s="1"/>
      <c r="S5" s="1"/>
      <c r="T5" s="1"/>
      <c r="U5" s="1"/>
      <c r="V5" s="1"/>
      <c r="W5" s="1"/>
    </row>
    <row r="6" spans="2:23" ht="24">
      <c r="B6" s="77" t="s">
        <v>5</v>
      </c>
      <c r="C6" s="77" t="s">
        <v>6</v>
      </c>
      <c r="D6" s="77" t="s">
        <v>7</v>
      </c>
      <c r="E6" s="77" t="s">
        <v>8</v>
      </c>
      <c r="F6" s="77" t="s">
        <v>9</v>
      </c>
      <c r="G6" s="77" t="s">
        <v>10</v>
      </c>
      <c r="H6" s="120" t="s">
        <v>11</v>
      </c>
      <c r="I6" s="121"/>
      <c r="J6" s="77" t="s">
        <v>12</v>
      </c>
      <c r="K6" s="77" t="s">
        <v>13</v>
      </c>
      <c r="L6" s="77" t="s">
        <v>14</v>
      </c>
      <c r="M6" s="77" t="s">
        <v>15</v>
      </c>
      <c r="N6" s="77" t="s">
        <v>16</v>
      </c>
      <c r="O6" s="1"/>
      <c r="P6" s="1"/>
      <c r="Q6" s="1"/>
      <c r="R6" s="1"/>
      <c r="S6" s="1"/>
      <c r="T6" s="1"/>
      <c r="U6" s="1"/>
      <c r="V6" s="1"/>
      <c r="W6" s="1"/>
    </row>
    <row r="7" spans="2:23" s="93" customFormat="1" ht="38.25" customHeight="1">
      <c r="B7" s="59">
        <v>46191</v>
      </c>
      <c r="C7" s="60" t="s">
        <v>79</v>
      </c>
      <c r="D7" s="61">
        <v>0.41666666666666669</v>
      </c>
      <c r="E7" s="61">
        <v>0.5</v>
      </c>
      <c r="F7" s="62">
        <v>2</v>
      </c>
      <c r="G7" s="63">
        <v>6</v>
      </c>
      <c r="H7" s="122" t="s">
        <v>80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2:23" ht="21.6">
      <c r="B8" s="78"/>
      <c r="C8" s="78"/>
      <c r="D8" s="116" t="s">
        <v>17</v>
      </c>
      <c r="E8" s="117"/>
      <c r="F8" s="62">
        <f>SUM(F7:F7)</f>
        <v>2</v>
      </c>
      <c r="G8" s="79" t="s">
        <v>18</v>
      </c>
      <c r="H8" s="114"/>
      <c r="I8" s="115"/>
      <c r="J8" s="111" t="s">
        <v>19</v>
      </c>
      <c r="K8" s="112"/>
      <c r="L8" s="113"/>
      <c r="M8" s="80">
        <f>SUM(M7)</f>
        <v>0</v>
      </c>
      <c r="N8" s="78"/>
      <c r="O8" s="2"/>
      <c r="P8" s="2"/>
      <c r="Q8" s="2"/>
      <c r="R8" s="2"/>
      <c r="S8" s="2"/>
      <c r="T8" s="2"/>
      <c r="U8" s="2"/>
      <c r="V8" s="2"/>
      <c r="W8" s="2"/>
    </row>
    <row r="9" spans="2:23" ht="15.6">
      <c r="B9" s="102" t="s">
        <v>20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"/>
      <c r="P9" s="1"/>
      <c r="Q9" s="1"/>
      <c r="R9" s="1"/>
      <c r="S9" s="1"/>
      <c r="T9" s="1"/>
      <c r="U9" s="1"/>
      <c r="V9" s="1"/>
      <c r="W9" s="1"/>
    </row>
    <row r="10" spans="2:23" ht="15.6">
      <c r="B10" s="103" t="s">
        <v>78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"/>
      <c r="P10" s="1"/>
      <c r="Q10" s="1"/>
      <c r="R10" s="1"/>
      <c r="S10" s="1"/>
      <c r="T10" s="1"/>
      <c r="U10" s="1"/>
      <c r="V10" s="1"/>
      <c r="W10" s="1"/>
    </row>
    <row r="11" spans="2:23" ht="16.2" thickBo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15.6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1"/>
      <c r="P12" s="1"/>
      <c r="Q12" s="1"/>
      <c r="R12" s="1"/>
      <c r="S12" s="1"/>
      <c r="T12" s="1"/>
      <c r="U12" s="1"/>
      <c r="V12" s="1"/>
      <c r="W12" s="1"/>
    </row>
    <row r="13" spans="2:23" ht="15.6">
      <c r="B13" s="99" t="s">
        <v>22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1"/>
      <c r="O13" s="1"/>
      <c r="P13" s="1"/>
      <c r="Q13" s="1"/>
      <c r="R13" s="1"/>
      <c r="S13" s="1"/>
      <c r="T13" s="1"/>
      <c r="U13" s="1"/>
      <c r="V13" s="1"/>
      <c r="W13" s="1"/>
    </row>
    <row r="14" spans="2:23" ht="25.5" customHeight="1" thickBot="1">
      <c r="B14" s="105" t="s">
        <v>23</v>
      </c>
      <c r="C14" s="106"/>
      <c r="D14" s="22"/>
      <c r="E14" s="22"/>
      <c r="F14" s="22">
        <f>F8</f>
        <v>2</v>
      </c>
      <c r="G14" s="23" t="s">
        <v>18</v>
      </c>
      <c r="H14" s="24" t="s">
        <v>52</v>
      </c>
      <c r="I14" s="25" t="s">
        <v>24</v>
      </c>
      <c r="J14" s="23">
        <f>F14*75</f>
        <v>150</v>
      </c>
      <c r="K14" s="26"/>
      <c r="L14" s="24"/>
      <c r="M14" s="27"/>
      <c r="N14" s="28"/>
      <c r="O14" s="1"/>
      <c r="P14" s="1"/>
      <c r="Q14" s="1"/>
      <c r="R14" s="1"/>
      <c r="S14" s="1"/>
      <c r="T14" s="1"/>
      <c r="U14" s="1"/>
      <c r="V14" s="1"/>
      <c r="W14" s="1"/>
    </row>
    <row r="15" spans="2:23" ht="30" customHeight="1" thickBot="1">
      <c r="B15" s="105" t="s">
        <v>25</v>
      </c>
      <c r="C15" s="106"/>
      <c r="D15" s="24"/>
      <c r="E15" s="24"/>
      <c r="F15" s="24"/>
      <c r="G15" s="24"/>
      <c r="H15" s="24" t="s">
        <v>26</v>
      </c>
      <c r="I15" s="29" t="s">
        <v>24</v>
      </c>
      <c r="J15" s="45">
        <f>M8</f>
        <v>0</v>
      </c>
      <c r="K15" s="30"/>
      <c r="L15" s="24"/>
      <c r="M15" s="31"/>
      <c r="N15" s="32"/>
      <c r="O15" s="1"/>
      <c r="P15" s="1"/>
      <c r="Q15" s="1"/>
      <c r="R15" s="1"/>
      <c r="S15" s="1"/>
      <c r="T15" s="1"/>
      <c r="U15" s="1"/>
      <c r="V15" s="1"/>
      <c r="W15" s="1"/>
    </row>
    <row r="16" spans="2:23" ht="16.2" thickBot="1"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/>
      <c r="O16" s="1"/>
      <c r="P16" s="1"/>
      <c r="Q16" s="1"/>
      <c r="R16" s="1"/>
      <c r="S16" s="1"/>
      <c r="T16" s="1"/>
      <c r="U16" s="1"/>
      <c r="V16" s="1"/>
      <c r="W16" s="1"/>
    </row>
    <row r="17" spans="2:23" ht="15.6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ht="15.6">
      <c r="B18" s="36" t="s">
        <v>27</v>
      </c>
      <c r="C18" s="36"/>
      <c r="D18" s="36"/>
      <c r="E18" s="36"/>
      <c r="F18" s="36"/>
      <c r="G18" s="36"/>
      <c r="H18" s="36"/>
      <c r="I18" s="36"/>
      <c r="J18" s="36"/>
      <c r="K18" s="36" t="s">
        <v>28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37.5" customHeight="1" thickBot="1">
      <c r="B19" s="37"/>
      <c r="C19" s="37"/>
      <c r="D19" s="37"/>
      <c r="E19" s="37"/>
      <c r="F19" s="37"/>
      <c r="G19" s="37"/>
      <c r="H19" s="37"/>
      <c r="I19" s="37"/>
      <c r="J19" s="1"/>
      <c r="K19" s="37"/>
      <c r="L19" s="37"/>
      <c r="M19" s="37"/>
      <c r="N19" s="37"/>
      <c r="O19" s="1"/>
      <c r="P19" s="1"/>
      <c r="Q19" s="1"/>
      <c r="R19" s="1"/>
      <c r="S19" s="1"/>
      <c r="T19" s="1"/>
      <c r="U19" s="1"/>
      <c r="V19" s="1"/>
      <c r="W19" s="1"/>
    </row>
    <row r="20" spans="2:23" ht="16.2">
      <c r="B20" s="38" t="s">
        <v>40</v>
      </c>
      <c r="D20" s="43" t="s">
        <v>42</v>
      </c>
      <c r="E20" s="44"/>
      <c r="I20" s="38" t="s">
        <v>39</v>
      </c>
      <c r="J20" s="39"/>
      <c r="K20" s="38" t="s">
        <v>29</v>
      </c>
      <c r="L20" s="55" t="s">
        <v>82</v>
      </c>
      <c r="M20" s="38"/>
      <c r="N20" s="39" t="s">
        <v>30</v>
      </c>
      <c r="O20" s="36"/>
      <c r="P20" s="36"/>
      <c r="Q20" s="36"/>
      <c r="R20" s="36"/>
      <c r="S20" s="36"/>
      <c r="T20" s="36"/>
      <c r="U20" s="36"/>
      <c r="V20" s="36"/>
      <c r="W20" s="36"/>
    </row>
    <row r="21" spans="2:23" ht="15.6">
      <c r="B21" s="107" t="s">
        <v>31</v>
      </c>
      <c r="C21" s="108"/>
      <c r="D21" s="55"/>
      <c r="E21" s="55"/>
      <c r="F21" s="55"/>
      <c r="G21" s="55"/>
      <c r="H21" s="40"/>
      <c r="I21" s="40"/>
      <c r="J21" s="40"/>
      <c r="K21" s="55" t="s">
        <v>32</v>
      </c>
      <c r="L21" s="40"/>
      <c r="M21" s="40"/>
      <c r="N21" s="40"/>
      <c r="O21" s="1"/>
      <c r="P21" s="1"/>
      <c r="Q21" s="1"/>
      <c r="R21" s="1"/>
      <c r="S21" s="1"/>
      <c r="T21" s="1"/>
      <c r="U21" s="1"/>
      <c r="V21" s="1"/>
      <c r="W21" s="1"/>
    </row>
    <row r="22" spans="2:23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54"/>
      <c r="P22" s="54"/>
      <c r="Q22" s="54"/>
      <c r="R22" s="54"/>
      <c r="S22" s="54"/>
      <c r="T22" s="54"/>
      <c r="U22" s="54"/>
      <c r="V22" s="54"/>
      <c r="W22" s="54"/>
    </row>
    <row r="23" spans="2:23" ht="15.6">
      <c r="B23" s="41" t="s">
        <v>33</v>
      </c>
      <c r="C23" s="40"/>
      <c r="D23" s="40"/>
      <c r="E23" s="40"/>
      <c r="F23" s="40"/>
      <c r="G23" s="40"/>
      <c r="H23" s="40"/>
      <c r="I23" s="40"/>
      <c r="J23" s="4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ht="15.6">
      <c r="B24" s="110" t="s">
        <v>34</v>
      </c>
      <c r="C24" s="108"/>
      <c r="D24" s="108"/>
      <c r="E24" s="108"/>
      <c r="F24" s="108"/>
      <c r="G24" s="110" t="s">
        <v>35</v>
      </c>
      <c r="H24" s="110"/>
      <c r="I24" s="110"/>
      <c r="J24" s="110"/>
      <c r="K24" s="110"/>
      <c r="L24" s="110"/>
      <c r="M24" s="110"/>
      <c r="N24" s="42"/>
      <c r="O24" s="42"/>
      <c r="P24" s="42"/>
      <c r="Q24" s="42"/>
      <c r="R24" s="42"/>
      <c r="S24" s="42"/>
      <c r="T24" s="42"/>
      <c r="U24" s="42"/>
      <c r="V24" s="42"/>
      <c r="W24" s="42"/>
    </row>
    <row r="25" spans="2:23" ht="15.6">
      <c r="B25" s="110" t="s">
        <v>36</v>
      </c>
      <c r="C25" s="108"/>
      <c r="D25" s="108"/>
      <c r="E25" s="108"/>
      <c r="F25" s="108"/>
      <c r="G25" s="110" t="s">
        <v>37</v>
      </c>
      <c r="H25" s="108"/>
      <c r="I25" s="108"/>
      <c r="J25" s="10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ht="15.6">
      <c r="B26" s="54"/>
      <c r="C26" s="54"/>
      <c r="D26" s="54"/>
      <c r="E26" s="54"/>
      <c r="F26" s="54"/>
      <c r="G26" s="54"/>
      <c r="H26" s="54"/>
      <c r="I26" s="54"/>
      <c r="J26" s="5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ht="15.6">
      <c r="B27" s="104" t="s">
        <v>38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"/>
      <c r="P27" s="1"/>
      <c r="Q27" s="1"/>
      <c r="R27" s="1"/>
      <c r="S27" s="1"/>
      <c r="T27" s="1"/>
      <c r="U27" s="1"/>
      <c r="V27" s="1"/>
      <c r="W27" s="1"/>
    </row>
    <row r="28" spans="2:23" ht="15.6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ht="15.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ht="15.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ht="15.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15.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ht="15.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ht="15.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ht="15.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ht="15.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ht="15.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15.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15.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t="15.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ht="15.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ht="15.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15.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15.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15.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15.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15.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15.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15.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15.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15.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15.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15.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15.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15.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ht="15.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ht="15.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ht="15.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ht="15.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15.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ht="15.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15.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ht="15.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ht="15.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15.6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15.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15.6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15.6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15.6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15.6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15.6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15.6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ht="15.6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ht="15.6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ht="15.6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15.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15.6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ht="15.6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15.6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15.6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5.6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5.6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5.6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5.6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5.6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5.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5.6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5.6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5.6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5.6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5.6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5.6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5.6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5.6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5.6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5.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5.6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5.6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5.6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5.6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5.6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5.6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5.6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5.6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5.6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5.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5.6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5.6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5.6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5.6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5.6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5.6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5.6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5.6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5.6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5.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5.6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5.6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5.6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5.6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5.6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5.6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5.6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5.6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5.6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5.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5.6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5.6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5.6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5.6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5.6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5.6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5.6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5.6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5.6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5.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5.6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5.6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5.6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5.6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5.6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5.6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5.6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5.6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5.6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5.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5.6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5.6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5.6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5.6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5.6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5.6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5.6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5.6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5.6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5.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5.6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5.6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5.6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5.6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5.6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5.6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5.6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5.6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5.6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5.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5.6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5.6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5.6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5.6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5.6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5.6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5.6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5.6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5.6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5.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5.6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5.6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5.6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5.6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5.6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5.6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5.6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5.6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5.6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5.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5.6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5.6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5.6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5.6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5.6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5.6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5.6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5.6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5.6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5.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5.6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5.6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5.6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5.6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5.6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5.6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5.6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5.6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5.6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5.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5.6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5.6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5.6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5.6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5.6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5.6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5.6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5.6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5.6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5.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5.6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5.6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5.6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5.6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5.6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5.6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5.6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5.6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5.6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5.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5.6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15.6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15.6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15.6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15.6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15.6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15.6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15.6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15.6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15.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15.6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15.6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15.6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15.6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15.6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15.6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15.6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15.6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15.6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15.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15.6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15.6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15.6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15.6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15.6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15.6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15.6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15.6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15.6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15.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15.6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15.6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15.6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15.6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15.6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15.6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15.6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15.6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15.6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15.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15.6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15.6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15.6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15.6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15.6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15.6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15.6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15.6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15.6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15.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15.6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15.6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15.6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15.6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15.6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15.6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15.6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15.6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15.6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15.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15.6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15.6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15.6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15.6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15.6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15.6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15.6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15.6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15.6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15.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15.6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15.6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15.6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15.6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15.6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15.6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15.6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15.6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15.6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15.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15.6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15.6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15.6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15.6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15.6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15.6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15.6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15.6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15.6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15.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15.6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15.6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15.6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15.6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15.6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15.6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15.6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15.6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15.6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15.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15.6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15.6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15.6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15.6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15.6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15.6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15.6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15.6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15.6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15.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15.6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15.6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15.6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15.6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15.6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15.6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15.6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15.6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15.6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15.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15.6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15.6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15.6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15.6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15.6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15.6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15.6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15.6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15.6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15.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15.6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15.6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15.6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15.6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15.6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15.6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15.6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15.6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15.6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15.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15.6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15.6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15.6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15.6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15.6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15.6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15.6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15.6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15.6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15.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15.6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15.6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15.6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15.6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15.6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15.6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15.6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15.6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15.6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15.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15.6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15.6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15.6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15.6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15.6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15.6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15.6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15.6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15.6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15.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15.6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15.6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15.6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15.6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15.6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15.6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15.6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15.6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15.6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15.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15.6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15.6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15.6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15.6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15.6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15.6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15.6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15.6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15.6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15.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15.6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15.6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15.6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15.6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15.6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15.6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15.6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15.6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15.6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15.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15.6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15.6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15.6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15.6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15.6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15.6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15.6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15.6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15.6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15.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15.6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15.6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15.6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15.6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15.6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15.6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15.6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15.6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15.6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15.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15.6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15.6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15.6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15.6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15.6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15.6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15.6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15.6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15.6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15.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15.6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15.6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15.6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15.6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15.6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15.6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15.6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15.6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15.6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15.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15.6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15.6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15.6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15.6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15.6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15.6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15.6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15.6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15.6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15.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15.6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15.6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15.6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15.6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15.6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15.6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15.6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15.6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15.6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15.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15.6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15.6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15.6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15.6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15.6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15.6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15.6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15.6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15.6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15.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15.6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15.6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15.6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15.6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15.6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15.6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15.6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15.6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15.6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15.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15.6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15.6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15.6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15.6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15.6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15.6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15.6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15.6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15.6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15.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15.6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15.6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15.6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15.6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15.6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15.6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15.6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15.6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15.6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15.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15.6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15.6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15.6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15.6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15.6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15.6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15.6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15.6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15.6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15.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15.6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15.6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15.6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15.6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15.6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15.6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15.6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15.6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15.6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15.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15.6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15.6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15.6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15.6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15.6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15.6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15.6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15.6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15.6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15.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15.6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15.6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15.6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15.6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15.6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15.6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15.6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15.6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15.6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15.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15.6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15.6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15.6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15.6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15.6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15.6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15.6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15.6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15.6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15.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15.6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15.6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15.6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15.6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15.6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15.6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15.6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15.6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15.6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15.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15.6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15.6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15.6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15.6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15.6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15.6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15.6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15.6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15.6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15.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15.6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15.6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15.6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15.6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15.6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15.6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15.6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15.6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15.6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15.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15.6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15.6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15.6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15.6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15.6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15.6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15.6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15.6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15.6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15.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15.6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15.6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15.6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15.6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15.6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15.6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15.6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15.6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15.6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15.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15.6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15.6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15.6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15.6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15.6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15.6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15.6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15.6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15.6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15.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15.6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15.6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15.6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15.6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15.6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15.6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15.6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15.6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15.6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15.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15.6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15.6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15.6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15.6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15.6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15.6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15.6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15.6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15.6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15.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15.6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15.6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15.6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15.6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15.6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15.6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15.6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15.6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15.6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15.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15.6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15.6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15.6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15.6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15.6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15.6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15.6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15.6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15.6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15.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15.6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15.6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15.6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15.6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15.6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15.6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15.6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15.6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15.6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15.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15.6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15.6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15.6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15.6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15.6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15.6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15.6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15.6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15.6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15.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15.6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15.6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15.6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15.6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15.6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15.6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15.6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15.6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15.6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15.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15.6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15.6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15.6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15.6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15.6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15.6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15.6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15.6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15.6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15.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15.6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15.6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15.6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15.6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15.6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15.6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15.6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15.6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15.6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15.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15.6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15.6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15.6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15.6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15.6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15.6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15.6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15.6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15.6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15.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15.6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15.6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15.6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15.6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15.6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15.6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15.6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15.6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15.6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15.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15.6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15.6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15.6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15.6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15.6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15.6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15.6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15.6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15.6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15.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15.6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15.6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15.6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15.6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15.6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15.6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15.6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15.6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15.6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15.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15.6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15.6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15.6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15.6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15.6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15.6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15.6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15.6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15.6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15.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15.6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15.6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15.6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15.6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15.6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15.6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15.6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15.6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15.6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15.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15.6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15.6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15.6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15.6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15.6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15.6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15.6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15.6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15.6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15.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15.6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15.6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15.6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15.6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15.6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15.6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15.6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15.6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15.6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15.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15.6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15.6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15.6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15.6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15.6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15.6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15.6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15.6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15.6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15.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15.6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15.6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15.6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15.6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15.6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15.6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15.6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15.6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15.6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15.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15.6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15.6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15.6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15.6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15.6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15.6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15.6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15.6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15.6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15.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15.6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15.6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15.6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15.6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15.6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15.6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15.6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15.6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15.6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15.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15.6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15.6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15.6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15.6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15.6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15.6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15.6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15.6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15.6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15.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15.6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15.6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15.6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15.6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15.6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15.6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15.6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15.6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15.6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15.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15.6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15.6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15.6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15.6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15.6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15.6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15.6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15.6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15.6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15.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15.6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15.6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15.6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15.6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15.6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15.6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15.6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15.6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15.6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15.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15.6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15.6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15.6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15.6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15.6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15.6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15.6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15.6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15.6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15.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15.6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15.6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15.6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15.6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15.6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15.6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15.6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15.6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15.6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15.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15.6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15.6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15.6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15.6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15.6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15.6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15.6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15.6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15.6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15.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15.6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15.6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15.6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15.6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15.6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15.6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15.6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15.6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15.6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15.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15.6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15.6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15.6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15.6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15.6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15.6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15.6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15.6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15.6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15.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15.6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15.6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15.6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15.6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15.6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15.6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15.6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15.6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15.6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15.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15.6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15.6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15.6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15.6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15.6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15.6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15.6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15.6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15.6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15.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15.6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15.6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15.6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15.6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15.6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15.6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15.6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15.6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15.6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15.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15.6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15.6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15.6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15.6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15.6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15.6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15.6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15.6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15.6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15.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15.6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15.6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15.6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15.6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15.6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15.6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15.6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15.6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15.6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15.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15.6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15.6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15.6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15.6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15.6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</sheetData>
  <autoFilter ref="B6:N10" xr:uid="{256B4ACB-927A-45B4-8A3A-69DA080321D7}">
    <filterColumn colId="6" showButton="0"/>
  </autoFilter>
  <mergeCells count="20">
    <mergeCell ref="J8:L8"/>
    <mergeCell ref="H8:I8"/>
    <mergeCell ref="D8:E8"/>
    <mergeCell ref="B1:N1"/>
    <mergeCell ref="B2:N2"/>
    <mergeCell ref="B3:N3"/>
    <mergeCell ref="H6:I6"/>
    <mergeCell ref="H7:I7"/>
    <mergeCell ref="B13:N13"/>
    <mergeCell ref="B9:N9"/>
    <mergeCell ref="B10:N10"/>
    <mergeCell ref="B27:N27"/>
    <mergeCell ref="B14:C14"/>
    <mergeCell ref="B15:C15"/>
    <mergeCell ref="B21:C21"/>
    <mergeCell ref="B22:N22"/>
    <mergeCell ref="B24:F24"/>
    <mergeCell ref="G24:M24"/>
    <mergeCell ref="B25:F25"/>
    <mergeCell ref="G25:J25"/>
  </mergeCells>
  <phoneticPr fontId="12" type="noConversion"/>
  <pageMargins left="0.7" right="0.7" top="0.75" bottom="0.75" header="0.3" footer="0.3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D641-D773-4459-AB06-9A0CE6BBFDC5}">
  <sheetPr>
    <pageSetUpPr fitToPage="1"/>
  </sheetPr>
  <dimension ref="A1:Z995"/>
  <sheetViews>
    <sheetView zoomScale="50" zoomScaleNormal="50" workbookViewId="0">
      <selection activeCell="K9" sqref="K9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43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8" customHeight="1">
      <c r="A6" s="1"/>
      <c r="B6" s="77" t="s">
        <v>5</v>
      </c>
      <c r="C6" s="77" t="s">
        <v>6</v>
      </c>
      <c r="D6" s="77" t="s">
        <v>7</v>
      </c>
      <c r="E6" s="77" t="s">
        <v>8</v>
      </c>
      <c r="F6" s="77" t="s">
        <v>9</v>
      </c>
      <c r="G6" s="77" t="s">
        <v>10</v>
      </c>
      <c r="H6" s="120" t="s">
        <v>11</v>
      </c>
      <c r="I6" s="121"/>
      <c r="J6" s="77" t="s">
        <v>12</v>
      </c>
      <c r="K6" s="77" t="s">
        <v>13</v>
      </c>
      <c r="L6" s="77" t="s">
        <v>14</v>
      </c>
      <c r="M6" s="77" t="s">
        <v>15</v>
      </c>
      <c r="N6" s="77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46182</v>
      </c>
      <c r="C7" s="60" t="s">
        <v>91</v>
      </c>
      <c r="D7" s="61">
        <v>0.41666666666666669</v>
      </c>
      <c r="E7" s="61">
        <v>0.45833333333333337</v>
      </c>
      <c r="F7" s="62">
        <v>1</v>
      </c>
      <c r="G7" s="63">
        <v>2</v>
      </c>
      <c r="H7" s="122"/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6" customFormat="1" ht="38.25" customHeight="1">
      <c r="B8" s="59">
        <v>46185</v>
      </c>
      <c r="C8" s="60" t="s">
        <v>90</v>
      </c>
      <c r="D8" s="61">
        <v>0.41666666666666669</v>
      </c>
      <c r="E8" s="61">
        <v>0.45833333333333337</v>
      </c>
      <c r="F8" s="62">
        <v>1</v>
      </c>
      <c r="G8" s="63">
        <v>2</v>
      </c>
      <c r="H8" s="122"/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6" customFormat="1" ht="38.25" customHeight="1">
      <c r="B9" s="59">
        <v>46189</v>
      </c>
      <c r="C9" s="60" t="s">
        <v>79</v>
      </c>
      <c r="D9" s="61">
        <v>0.58333333333333337</v>
      </c>
      <c r="E9" s="61">
        <v>0.66666666666666663</v>
      </c>
      <c r="F9" s="62">
        <v>2</v>
      </c>
      <c r="G9" s="63">
        <v>5</v>
      </c>
      <c r="H9" s="122" t="s">
        <v>96</v>
      </c>
      <c r="I9" s="123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94" customFormat="1" ht="38.25" customHeight="1">
      <c r="B10" s="59">
        <v>46191</v>
      </c>
      <c r="C10" s="60" t="s">
        <v>79</v>
      </c>
      <c r="D10" s="61">
        <v>0.41666666666666669</v>
      </c>
      <c r="E10" s="61">
        <v>0.5</v>
      </c>
      <c r="F10" s="62">
        <v>2</v>
      </c>
      <c r="G10" s="63">
        <v>6</v>
      </c>
      <c r="H10" s="122" t="s">
        <v>80</v>
      </c>
      <c r="I10" s="123"/>
      <c r="J10" s="63"/>
      <c r="K10" s="63"/>
      <c r="L10" s="63"/>
      <c r="M10" s="63"/>
      <c r="N10" s="63"/>
      <c r="O10" s="1"/>
      <c r="P10" s="1"/>
      <c r="Q10" s="1"/>
      <c r="R10" s="1"/>
      <c r="S10" s="1"/>
      <c r="T10" s="1"/>
      <c r="U10" s="1"/>
      <c r="V10" s="1"/>
      <c r="W10" s="1"/>
    </row>
    <row r="11" spans="1:26" s="96" customFormat="1" ht="38.25" customHeight="1">
      <c r="B11" s="59">
        <v>46203</v>
      </c>
      <c r="C11" s="60" t="s">
        <v>91</v>
      </c>
      <c r="D11" s="61">
        <v>0.41666666666666669</v>
      </c>
      <c r="E11" s="61">
        <v>0.45833333333333337</v>
      </c>
      <c r="F11" s="62">
        <v>1</v>
      </c>
      <c r="G11" s="63">
        <v>2</v>
      </c>
      <c r="H11" s="122"/>
      <c r="I11" s="12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  <c r="W11" s="1"/>
    </row>
    <row r="12" spans="1:26" ht="22.2" thickBot="1">
      <c r="A12" s="2"/>
      <c r="B12" s="56"/>
      <c r="C12" s="56"/>
      <c r="D12" s="127" t="s">
        <v>17</v>
      </c>
      <c r="E12" s="128"/>
      <c r="F12" s="57">
        <f>SUM(F7:F11)</f>
        <v>7</v>
      </c>
      <c r="G12" s="58" t="s">
        <v>18</v>
      </c>
      <c r="H12" s="129"/>
      <c r="I12" s="126"/>
      <c r="J12" s="124" t="s">
        <v>19</v>
      </c>
      <c r="K12" s="125"/>
      <c r="L12" s="126"/>
      <c r="M12" s="66">
        <f>SUM(M10)</f>
        <v>0</v>
      </c>
      <c r="N12" s="6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1"/>
      <c r="B13" s="130" t="s">
        <v>20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103" t="s">
        <v>55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 thickBo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1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99" t="s">
        <v>22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thickBot="1">
      <c r="A18" s="1"/>
      <c r="B18" s="105" t="s">
        <v>23</v>
      </c>
      <c r="C18" s="106"/>
      <c r="D18" s="22"/>
      <c r="E18" s="22"/>
      <c r="F18" s="22">
        <f>F12</f>
        <v>7</v>
      </c>
      <c r="G18" s="23" t="s">
        <v>18</v>
      </c>
      <c r="H18" s="24" t="s">
        <v>52</v>
      </c>
      <c r="I18" s="25" t="s">
        <v>24</v>
      </c>
      <c r="J18" s="23">
        <f>F18*75</f>
        <v>525</v>
      </c>
      <c r="K18" s="26"/>
      <c r="L18" s="24"/>
      <c r="M18" s="27"/>
      <c r="N18" s="2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thickBot="1">
      <c r="A19" s="1"/>
      <c r="B19" s="105" t="s">
        <v>25</v>
      </c>
      <c r="C19" s="106"/>
      <c r="D19" s="24"/>
      <c r="E19" s="24"/>
      <c r="F19" s="24"/>
      <c r="G19" s="24"/>
      <c r="H19" s="24" t="s">
        <v>26</v>
      </c>
      <c r="I19" s="29" t="s">
        <v>24</v>
      </c>
      <c r="J19" s="45">
        <f>M12</f>
        <v>0</v>
      </c>
      <c r="K19" s="30"/>
      <c r="L19" s="24"/>
      <c r="M19" s="31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 thickBot="1">
      <c r="A20" s="1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>
      <c r="A22" s="1"/>
      <c r="B22" s="36" t="s">
        <v>27</v>
      </c>
      <c r="C22" s="36"/>
      <c r="D22" s="36"/>
      <c r="E22" s="36"/>
      <c r="F22" s="36"/>
      <c r="G22" s="36"/>
      <c r="H22" s="36"/>
      <c r="I22" s="36"/>
      <c r="J22" s="36"/>
      <c r="K22" s="36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thickBot="1">
      <c r="A23" s="1"/>
      <c r="B23" s="37"/>
      <c r="C23" s="37"/>
      <c r="D23" s="37"/>
      <c r="E23" s="37"/>
      <c r="F23" s="37"/>
      <c r="G23" s="37"/>
      <c r="H23" s="37"/>
      <c r="I23" s="37"/>
      <c r="J23" s="1"/>
      <c r="K23" s="37"/>
      <c r="L23" s="37"/>
      <c r="M23" s="37"/>
      <c r="N23" s="3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A24" s="36"/>
      <c r="B24" s="38" t="s">
        <v>40</v>
      </c>
      <c r="D24" s="43" t="s">
        <v>43</v>
      </c>
      <c r="E24" s="44"/>
      <c r="I24" s="38" t="s">
        <v>39</v>
      </c>
      <c r="J24" s="39"/>
      <c r="K24" s="38" t="s">
        <v>29</v>
      </c>
      <c r="L24" s="88" t="s">
        <v>82</v>
      </c>
      <c r="M24" s="38"/>
      <c r="N24" s="39" t="s">
        <v>30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>
      <c r="A25" s="1"/>
      <c r="B25" s="107" t="s">
        <v>31</v>
      </c>
      <c r="C25" s="108"/>
      <c r="D25" s="48"/>
      <c r="E25" s="48"/>
      <c r="F25" s="48"/>
      <c r="G25" s="48"/>
      <c r="H25" s="40"/>
      <c r="I25" s="40"/>
      <c r="J25" s="40"/>
      <c r="K25" s="48" t="s">
        <v>32</v>
      </c>
      <c r="L25" s="40"/>
      <c r="M25" s="40"/>
      <c r="N25" s="4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46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6">
      <c r="A27" s="1"/>
      <c r="B27" s="41" t="s">
        <v>33</v>
      </c>
      <c r="C27" s="40"/>
      <c r="D27" s="40"/>
      <c r="E27" s="40"/>
      <c r="F27" s="40"/>
      <c r="G27" s="40"/>
      <c r="H27" s="40"/>
      <c r="I27" s="40"/>
      <c r="J27" s="4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42"/>
      <c r="B28" s="110" t="s">
        <v>34</v>
      </c>
      <c r="C28" s="108"/>
      <c r="D28" s="108"/>
      <c r="E28" s="108"/>
      <c r="F28" s="108"/>
      <c r="G28" s="110" t="s">
        <v>35</v>
      </c>
      <c r="H28" s="110"/>
      <c r="I28" s="110"/>
      <c r="J28" s="110"/>
      <c r="K28" s="110"/>
      <c r="L28" s="110"/>
      <c r="M28" s="110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6">
      <c r="A29" s="1"/>
      <c r="B29" s="110" t="s">
        <v>36</v>
      </c>
      <c r="C29" s="108"/>
      <c r="D29" s="108"/>
      <c r="E29" s="108"/>
      <c r="F29" s="108"/>
      <c r="G29" s="110" t="s">
        <v>37</v>
      </c>
      <c r="H29" s="110"/>
      <c r="I29" s="110"/>
      <c r="J29" s="11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46"/>
      <c r="C30" s="46"/>
      <c r="D30" s="46"/>
      <c r="E30" s="46"/>
      <c r="F30" s="46"/>
      <c r="G30" s="46"/>
      <c r="H30" s="46"/>
      <c r="I30" s="46"/>
      <c r="J30" s="4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04" t="s">
        <v>38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24">
    <mergeCell ref="B19:C19"/>
    <mergeCell ref="B13:N13"/>
    <mergeCell ref="B14:N14"/>
    <mergeCell ref="B17:N17"/>
    <mergeCell ref="B18:C18"/>
    <mergeCell ref="B31:N31"/>
    <mergeCell ref="B25:C25"/>
    <mergeCell ref="B26:N26"/>
    <mergeCell ref="B28:F28"/>
    <mergeCell ref="G28:M28"/>
    <mergeCell ref="B29:F29"/>
    <mergeCell ref="G29:J29"/>
    <mergeCell ref="B1:N1"/>
    <mergeCell ref="B2:N2"/>
    <mergeCell ref="B3:N3"/>
    <mergeCell ref="H6:I6"/>
    <mergeCell ref="J12:L12"/>
    <mergeCell ref="H9:I9"/>
    <mergeCell ref="D12:E12"/>
    <mergeCell ref="H12:I12"/>
    <mergeCell ref="H8:I8"/>
    <mergeCell ref="H10:I10"/>
    <mergeCell ref="H7:I7"/>
    <mergeCell ref="H11:I11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740C-A5A6-4759-B294-FCA1123A6B9D}">
  <sheetPr>
    <pageSetUpPr fitToPage="1"/>
  </sheetPr>
  <dimension ref="A1:Z994"/>
  <sheetViews>
    <sheetView zoomScale="70" zoomScaleNormal="70" workbookViewId="0">
      <selection activeCell="H10" sqref="H10:I10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44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77" t="s">
        <v>5</v>
      </c>
      <c r="C6" s="77" t="s">
        <v>6</v>
      </c>
      <c r="D6" s="77" t="s">
        <v>7</v>
      </c>
      <c r="E6" s="77" t="s">
        <v>8</v>
      </c>
      <c r="F6" s="77" t="s">
        <v>9</v>
      </c>
      <c r="G6" s="77" t="s">
        <v>10</v>
      </c>
      <c r="H6" s="131" t="s">
        <v>11</v>
      </c>
      <c r="I6" s="132"/>
      <c r="J6" s="77" t="s">
        <v>12</v>
      </c>
      <c r="K6" s="77" t="s">
        <v>13</v>
      </c>
      <c r="L6" s="77" t="s">
        <v>14</v>
      </c>
      <c r="M6" s="77" t="s">
        <v>15</v>
      </c>
      <c r="N6" s="77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46185</v>
      </c>
      <c r="C7" s="60" t="s">
        <v>84</v>
      </c>
      <c r="D7" s="61">
        <v>0.6875</v>
      </c>
      <c r="E7" s="61">
        <v>0.70833333333333337</v>
      </c>
      <c r="F7" s="62">
        <v>0.5</v>
      </c>
      <c r="G7" s="63">
        <v>2</v>
      </c>
      <c r="H7" s="122"/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6" customFormat="1" ht="38.25" customHeight="1">
      <c r="B8" s="59">
        <v>46189</v>
      </c>
      <c r="C8" s="60" t="s">
        <v>79</v>
      </c>
      <c r="D8" s="61">
        <v>0.58333333333333337</v>
      </c>
      <c r="E8" s="61">
        <v>0.66666666666666663</v>
      </c>
      <c r="F8" s="62">
        <v>2</v>
      </c>
      <c r="G8" s="63">
        <v>5</v>
      </c>
      <c r="H8" s="122" t="s">
        <v>96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2" customFormat="1" ht="38.25" customHeight="1">
      <c r="B9" s="59">
        <v>46191</v>
      </c>
      <c r="C9" s="60" t="s">
        <v>79</v>
      </c>
      <c r="D9" s="61">
        <v>0.41666666666666669</v>
      </c>
      <c r="E9" s="61">
        <v>0.5</v>
      </c>
      <c r="F9" s="62">
        <v>2</v>
      </c>
      <c r="G9" s="63">
        <v>6</v>
      </c>
      <c r="H9" s="122" t="s">
        <v>80</v>
      </c>
      <c r="I9" s="123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97" customFormat="1" ht="38.25" customHeight="1">
      <c r="B10" s="59">
        <v>46197</v>
      </c>
      <c r="C10" s="60" t="s">
        <v>97</v>
      </c>
      <c r="D10" s="152">
        <v>0.58333333333333337</v>
      </c>
      <c r="E10" s="153">
        <v>0.70833333333333337</v>
      </c>
      <c r="F10" s="62">
        <v>3</v>
      </c>
      <c r="G10" s="63">
        <v>6</v>
      </c>
      <c r="H10" s="122" t="s">
        <v>95</v>
      </c>
      <c r="I10" s="123"/>
      <c r="J10" s="154"/>
      <c r="K10" s="155"/>
      <c r="L10" s="156"/>
      <c r="M10" s="63"/>
      <c r="N10" s="63"/>
      <c r="O10" s="1"/>
      <c r="P10" s="1"/>
      <c r="Q10" s="1"/>
      <c r="R10" s="1"/>
      <c r="S10" s="1"/>
      <c r="T10" s="1"/>
      <c r="U10" s="1"/>
      <c r="V10" s="1"/>
      <c r="W10" s="1"/>
    </row>
    <row r="11" spans="1:26" ht="21.6">
      <c r="A11" s="2"/>
      <c r="B11" s="78"/>
      <c r="C11" s="78"/>
      <c r="D11" s="116" t="s">
        <v>17</v>
      </c>
      <c r="E11" s="117"/>
      <c r="F11" s="81">
        <f>SUM(F7:F10)</f>
        <v>7.5</v>
      </c>
      <c r="G11" s="79" t="s">
        <v>18</v>
      </c>
      <c r="H11" s="114"/>
      <c r="I11" s="115"/>
      <c r="J11" s="111" t="s">
        <v>19</v>
      </c>
      <c r="K11" s="112"/>
      <c r="L11" s="113"/>
      <c r="M11" s="80">
        <f>SUM(M9:M9)</f>
        <v>0</v>
      </c>
      <c r="N11" s="7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>
      <c r="A12" s="1"/>
      <c r="B12" s="102" t="s">
        <v>20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1"/>
      <c r="B13" s="103" t="s">
        <v>21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1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1"/>
      <c r="B16" s="99" t="s">
        <v>22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thickBot="1">
      <c r="A17" s="1"/>
      <c r="B17" s="105" t="s">
        <v>23</v>
      </c>
      <c r="C17" s="106"/>
      <c r="D17" s="22"/>
      <c r="E17" s="22"/>
      <c r="F17" s="22">
        <f>F11</f>
        <v>7.5</v>
      </c>
      <c r="G17" s="23" t="s">
        <v>18</v>
      </c>
      <c r="H17" s="24" t="s">
        <v>52</v>
      </c>
      <c r="I17" s="25" t="s">
        <v>24</v>
      </c>
      <c r="J17" s="23">
        <f>F17*75</f>
        <v>562.5</v>
      </c>
      <c r="K17" s="26"/>
      <c r="L17" s="24"/>
      <c r="M17" s="27"/>
      <c r="N17" s="2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thickBot="1">
      <c r="A18" s="1"/>
      <c r="B18" s="105" t="s">
        <v>25</v>
      </c>
      <c r="C18" s="106"/>
      <c r="D18" s="24"/>
      <c r="E18" s="24"/>
      <c r="F18" s="24"/>
      <c r="G18" s="24"/>
      <c r="H18" s="24" t="s">
        <v>26</v>
      </c>
      <c r="I18" s="29" t="s">
        <v>24</v>
      </c>
      <c r="J18" s="45">
        <f>M11</f>
        <v>0</v>
      </c>
      <c r="K18" s="30"/>
      <c r="L18" s="24"/>
      <c r="M18" s="31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 thickBot="1">
      <c r="A19" s="1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>
      <c r="A21" s="1"/>
      <c r="B21" s="36" t="s">
        <v>27</v>
      </c>
      <c r="C21" s="36"/>
      <c r="D21" s="36"/>
      <c r="E21" s="36"/>
      <c r="F21" s="36"/>
      <c r="G21" s="36"/>
      <c r="H21" s="36"/>
      <c r="I21" s="36"/>
      <c r="J21" s="36"/>
      <c r="K21" s="36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thickBot="1">
      <c r="A22" s="1"/>
      <c r="B22" s="37"/>
      <c r="C22" s="37"/>
      <c r="D22" s="37"/>
      <c r="E22" s="37"/>
      <c r="F22" s="37"/>
      <c r="G22" s="37"/>
      <c r="H22" s="37"/>
      <c r="I22" s="37"/>
      <c r="J22" s="1"/>
      <c r="K22" s="37"/>
      <c r="L22" s="37"/>
      <c r="M22" s="37"/>
      <c r="N22" s="3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>
      <c r="A23" s="36"/>
      <c r="B23" s="38" t="s">
        <v>40</v>
      </c>
      <c r="D23" s="43" t="s">
        <v>44</v>
      </c>
      <c r="E23" s="44"/>
      <c r="I23" s="38" t="s">
        <v>39</v>
      </c>
      <c r="J23" s="39"/>
      <c r="K23" s="38" t="s">
        <v>29</v>
      </c>
      <c r="L23" s="88" t="s">
        <v>82</v>
      </c>
      <c r="M23" s="38"/>
      <c r="N23" s="39" t="s">
        <v>30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>
      <c r="A24" s="1"/>
      <c r="B24" s="107" t="s">
        <v>31</v>
      </c>
      <c r="C24" s="108"/>
      <c r="D24" s="48"/>
      <c r="E24" s="48"/>
      <c r="F24" s="48"/>
      <c r="G24" s="48"/>
      <c r="H24" s="40"/>
      <c r="I24" s="40"/>
      <c r="J24" s="40"/>
      <c r="K24" s="48" t="s">
        <v>32</v>
      </c>
      <c r="L24" s="40"/>
      <c r="M24" s="40"/>
      <c r="N24" s="4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46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6">
      <c r="A26" s="1"/>
      <c r="B26" s="41" t="s">
        <v>33</v>
      </c>
      <c r="C26" s="40"/>
      <c r="D26" s="40"/>
      <c r="E26" s="40"/>
      <c r="F26" s="40"/>
      <c r="G26" s="40"/>
      <c r="H26" s="40"/>
      <c r="I26" s="40"/>
      <c r="J26" s="4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42"/>
      <c r="B27" s="110" t="s">
        <v>34</v>
      </c>
      <c r="C27" s="108"/>
      <c r="D27" s="108"/>
      <c r="E27" s="108"/>
      <c r="F27" s="108"/>
      <c r="G27" s="110" t="s">
        <v>35</v>
      </c>
      <c r="H27" s="110"/>
      <c r="I27" s="110"/>
      <c r="J27" s="110"/>
      <c r="K27" s="110"/>
      <c r="L27" s="110"/>
      <c r="M27" s="110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6">
      <c r="A28" s="1"/>
      <c r="B28" s="110" t="s">
        <v>36</v>
      </c>
      <c r="C28" s="108"/>
      <c r="D28" s="108"/>
      <c r="E28" s="108"/>
      <c r="F28" s="108"/>
      <c r="G28" s="110" t="s">
        <v>37</v>
      </c>
      <c r="H28" s="108"/>
      <c r="I28" s="108"/>
      <c r="J28" s="10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46"/>
      <c r="C29" s="46"/>
      <c r="D29" s="46"/>
      <c r="E29" s="46"/>
      <c r="F29" s="46"/>
      <c r="G29" s="46"/>
      <c r="H29" s="46"/>
      <c r="I29" s="46"/>
      <c r="J29" s="4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04" t="s">
        <v>38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sortState ref="B9:H9">
    <sortCondition ref="B6"/>
  </sortState>
  <mergeCells count="23">
    <mergeCell ref="J11:L11"/>
    <mergeCell ref="H11:I11"/>
    <mergeCell ref="D11:E11"/>
    <mergeCell ref="H10:I10"/>
    <mergeCell ref="B18:C18"/>
    <mergeCell ref="B12:N12"/>
    <mergeCell ref="B13:N13"/>
    <mergeCell ref="B16:N16"/>
    <mergeCell ref="B17:C17"/>
    <mergeCell ref="B30:N30"/>
    <mergeCell ref="B24:C24"/>
    <mergeCell ref="B25:N25"/>
    <mergeCell ref="B27:F27"/>
    <mergeCell ref="G27:M27"/>
    <mergeCell ref="B28:F28"/>
    <mergeCell ref="G28:J28"/>
    <mergeCell ref="B1:N1"/>
    <mergeCell ref="B2:N2"/>
    <mergeCell ref="B3:N3"/>
    <mergeCell ref="H6:I6"/>
    <mergeCell ref="H9:I9"/>
    <mergeCell ref="H7:I7"/>
    <mergeCell ref="H8:I8"/>
  </mergeCells>
  <phoneticPr fontId="12" type="noConversion"/>
  <pageMargins left="0.7" right="0.7" top="0.75" bottom="0.75" header="0.3" footer="0.3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532A-C56D-4250-A816-43FA391C2722}">
  <sheetPr>
    <pageSetUpPr fitToPage="1"/>
  </sheetPr>
  <dimension ref="A1:Z994"/>
  <sheetViews>
    <sheetView topLeftCell="A2" zoomScale="60" zoomScaleNormal="60" workbookViewId="0">
      <selection activeCell="E8" sqref="E8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24.363281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45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95" t="s">
        <v>5</v>
      </c>
      <c r="C6" s="95" t="s">
        <v>6</v>
      </c>
      <c r="D6" s="95" t="s">
        <v>7</v>
      </c>
      <c r="E6" s="95" t="s">
        <v>8</v>
      </c>
      <c r="F6" s="95" t="s">
        <v>9</v>
      </c>
      <c r="G6" s="95" t="s">
        <v>10</v>
      </c>
      <c r="H6" s="120" t="s">
        <v>11</v>
      </c>
      <c r="I6" s="121"/>
      <c r="J6" s="95" t="s">
        <v>12</v>
      </c>
      <c r="K6" s="95" t="s">
        <v>13</v>
      </c>
      <c r="L6" s="95" t="s">
        <v>14</v>
      </c>
      <c r="M6" s="95" t="s">
        <v>15</v>
      </c>
      <c r="N6" s="95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46187</v>
      </c>
      <c r="C7" s="60" t="s">
        <v>88</v>
      </c>
      <c r="D7" s="61">
        <v>0.70833333333333337</v>
      </c>
      <c r="E7" s="61">
        <v>0.72916666666666663</v>
      </c>
      <c r="F7" s="62">
        <v>0.5</v>
      </c>
      <c r="G7" s="63">
        <v>2</v>
      </c>
      <c r="H7" s="122"/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6" customFormat="1" ht="38.25" customHeight="1">
      <c r="B8" s="59">
        <v>46187</v>
      </c>
      <c r="C8" s="60" t="s">
        <v>89</v>
      </c>
      <c r="D8" s="61">
        <v>0.73958333333333337</v>
      </c>
      <c r="E8" s="61">
        <v>0.76041666666666674</v>
      </c>
      <c r="F8" s="62">
        <v>0.5</v>
      </c>
      <c r="G8" s="63">
        <v>2</v>
      </c>
      <c r="H8" s="122"/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6" customFormat="1" ht="38.25" customHeight="1">
      <c r="B9" s="59">
        <v>46189</v>
      </c>
      <c r="C9" s="60" t="s">
        <v>79</v>
      </c>
      <c r="D9" s="61">
        <v>0.58333333333333337</v>
      </c>
      <c r="E9" s="61">
        <v>0.66666666666666663</v>
      </c>
      <c r="F9" s="62">
        <v>2</v>
      </c>
      <c r="G9" s="63">
        <v>5</v>
      </c>
      <c r="H9" s="122" t="s">
        <v>96</v>
      </c>
      <c r="I9" s="123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94" customFormat="1" ht="38.25" customHeight="1">
      <c r="B10" s="59">
        <v>46191</v>
      </c>
      <c r="C10" s="60" t="s">
        <v>79</v>
      </c>
      <c r="D10" s="61">
        <v>0.41666666666666669</v>
      </c>
      <c r="E10" s="61">
        <v>0.5</v>
      </c>
      <c r="F10" s="62">
        <v>2</v>
      </c>
      <c r="G10" s="63">
        <v>6</v>
      </c>
      <c r="H10" s="122" t="s">
        <v>80</v>
      </c>
      <c r="I10" s="123"/>
      <c r="J10" s="63"/>
      <c r="K10" s="63"/>
      <c r="L10" s="63"/>
      <c r="M10" s="63"/>
      <c r="N10" s="63"/>
      <c r="O10" s="1"/>
      <c r="P10" s="1"/>
      <c r="Q10" s="1"/>
      <c r="R10" s="1"/>
      <c r="S10" s="1"/>
      <c r="T10" s="1"/>
      <c r="U10" s="1"/>
      <c r="V10" s="1"/>
      <c r="W10" s="1"/>
    </row>
    <row r="11" spans="1:26" ht="21.6">
      <c r="A11" s="2"/>
      <c r="B11" s="78"/>
      <c r="C11" s="78"/>
      <c r="D11" s="133" t="s">
        <v>17</v>
      </c>
      <c r="E11" s="121"/>
      <c r="F11" s="81">
        <f>SUM(F7:F10)</f>
        <v>5</v>
      </c>
      <c r="G11" s="79" t="s">
        <v>18</v>
      </c>
      <c r="H11" s="134"/>
      <c r="I11" s="121"/>
      <c r="J11" s="135" t="s">
        <v>19</v>
      </c>
      <c r="K11" s="121"/>
      <c r="L11" s="121"/>
      <c r="M11" s="80">
        <f>SUM(M10)</f>
        <v>0</v>
      </c>
      <c r="N11" s="7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>
      <c r="A12" s="1"/>
      <c r="B12" s="102" t="s">
        <v>20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1"/>
      <c r="B13" s="103" t="s">
        <v>21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1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1"/>
      <c r="B16" s="99" t="s">
        <v>22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thickBot="1">
      <c r="A17" s="1"/>
      <c r="B17" s="105" t="s">
        <v>23</v>
      </c>
      <c r="C17" s="106"/>
      <c r="D17" s="22"/>
      <c r="E17" s="22"/>
      <c r="F17" s="22">
        <f>F11</f>
        <v>5</v>
      </c>
      <c r="G17" s="23" t="s">
        <v>18</v>
      </c>
      <c r="H17" s="24" t="s">
        <v>52</v>
      </c>
      <c r="I17" s="25" t="s">
        <v>24</v>
      </c>
      <c r="J17" s="23">
        <f>F17*75</f>
        <v>375</v>
      </c>
      <c r="K17" s="26"/>
      <c r="L17" s="24"/>
      <c r="M17" s="27"/>
      <c r="N17" s="2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thickBot="1">
      <c r="A18" s="1"/>
      <c r="B18" s="105" t="s">
        <v>25</v>
      </c>
      <c r="C18" s="106"/>
      <c r="D18" s="24"/>
      <c r="E18" s="24"/>
      <c r="F18" s="24"/>
      <c r="G18" s="24"/>
      <c r="H18" s="24" t="s">
        <v>26</v>
      </c>
      <c r="I18" s="29" t="s">
        <v>24</v>
      </c>
      <c r="J18" s="45">
        <f>M11</f>
        <v>0</v>
      </c>
      <c r="K18" s="30"/>
      <c r="L18" s="24"/>
      <c r="M18" s="31"/>
      <c r="N18" s="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 thickBot="1">
      <c r="A19" s="1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>
      <c r="A21" s="1"/>
      <c r="B21" s="36" t="s">
        <v>27</v>
      </c>
      <c r="C21" s="36"/>
      <c r="D21" s="36"/>
      <c r="E21" s="36"/>
      <c r="F21" s="36"/>
      <c r="G21" s="36"/>
      <c r="H21" s="36"/>
      <c r="I21" s="36"/>
      <c r="J21" s="36"/>
      <c r="K21" s="36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thickBot="1">
      <c r="A22" s="1"/>
      <c r="B22" s="37"/>
      <c r="C22" s="37"/>
      <c r="D22" s="37"/>
      <c r="E22" s="37"/>
      <c r="F22" s="37"/>
      <c r="G22" s="37"/>
      <c r="H22" s="37"/>
      <c r="I22" s="37"/>
      <c r="J22" s="1"/>
      <c r="K22" s="37"/>
      <c r="L22" s="37"/>
      <c r="M22" s="37"/>
      <c r="N22" s="3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>
      <c r="A23" s="36"/>
      <c r="B23" s="38" t="s">
        <v>40</v>
      </c>
      <c r="D23" s="43" t="s">
        <v>45</v>
      </c>
      <c r="E23" s="44"/>
      <c r="I23" s="38" t="s">
        <v>39</v>
      </c>
      <c r="J23" s="39"/>
      <c r="K23" s="38" t="s">
        <v>29</v>
      </c>
      <c r="L23" s="88" t="s">
        <v>82</v>
      </c>
      <c r="M23" s="38"/>
      <c r="N23" s="39" t="s">
        <v>30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>
      <c r="A24" s="1"/>
      <c r="B24" s="107" t="s">
        <v>31</v>
      </c>
      <c r="C24" s="108"/>
      <c r="D24" s="48"/>
      <c r="E24" s="48"/>
      <c r="F24" s="48"/>
      <c r="G24" s="48"/>
      <c r="H24" s="40"/>
      <c r="I24" s="40"/>
      <c r="J24" s="40"/>
      <c r="K24" s="48" t="s">
        <v>32</v>
      </c>
      <c r="L24" s="40"/>
      <c r="M24" s="40"/>
      <c r="N24" s="4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46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6">
      <c r="A26" s="1"/>
      <c r="B26" s="41" t="s">
        <v>33</v>
      </c>
      <c r="C26" s="40"/>
      <c r="D26" s="40"/>
      <c r="E26" s="40"/>
      <c r="F26" s="40"/>
      <c r="G26" s="40"/>
      <c r="H26" s="40"/>
      <c r="I26" s="40"/>
      <c r="J26" s="4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42"/>
      <c r="B27" s="110" t="s">
        <v>34</v>
      </c>
      <c r="C27" s="108"/>
      <c r="D27" s="108"/>
      <c r="E27" s="108"/>
      <c r="F27" s="108"/>
      <c r="G27" s="110" t="s">
        <v>35</v>
      </c>
      <c r="H27" s="110"/>
      <c r="I27" s="110"/>
      <c r="J27" s="110"/>
      <c r="K27" s="110"/>
      <c r="L27" s="110"/>
      <c r="M27" s="110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6">
      <c r="A28" s="1"/>
      <c r="B28" s="110" t="s">
        <v>36</v>
      </c>
      <c r="C28" s="108"/>
      <c r="D28" s="108"/>
      <c r="E28" s="108"/>
      <c r="F28" s="108"/>
      <c r="G28" s="110" t="s">
        <v>37</v>
      </c>
      <c r="H28" s="108"/>
      <c r="I28" s="108"/>
      <c r="J28" s="10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46"/>
      <c r="C29" s="46"/>
      <c r="D29" s="46"/>
      <c r="E29" s="46"/>
      <c r="F29" s="46"/>
      <c r="G29" s="46"/>
      <c r="H29" s="46"/>
      <c r="I29" s="46"/>
      <c r="J29" s="4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04" t="s">
        <v>38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23">
    <mergeCell ref="B1:N1"/>
    <mergeCell ref="B2:N2"/>
    <mergeCell ref="B3:N3"/>
    <mergeCell ref="H6:I6"/>
    <mergeCell ref="B30:N30"/>
    <mergeCell ref="B24:C24"/>
    <mergeCell ref="B25:N25"/>
    <mergeCell ref="B27:F27"/>
    <mergeCell ref="G27:M27"/>
    <mergeCell ref="B28:F28"/>
    <mergeCell ref="G28:J28"/>
    <mergeCell ref="H7:I7"/>
    <mergeCell ref="H9:I9"/>
    <mergeCell ref="J11:L11"/>
    <mergeCell ref="B12:N12"/>
    <mergeCell ref="B16:N16"/>
    <mergeCell ref="B13:N13"/>
    <mergeCell ref="H8:I8"/>
    <mergeCell ref="B18:C18"/>
    <mergeCell ref="D11:E11"/>
    <mergeCell ref="H11:I11"/>
    <mergeCell ref="H10:I10"/>
    <mergeCell ref="B17:C17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415F-7EF6-4E3D-ACE7-4B2E3BA8BCC5}">
  <sheetPr>
    <pageSetUpPr fitToPage="1"/>
  </sheetPr>
  <dimension ref="A1:Z993"/>
  <sheetViews>
    <sheetView tabSelected="1" zoomScale="60" zoomScaleNormal="60" workbookViewId="0">
      <selection activeCell="M7" sqref="M7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6.5429687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46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.600000000000001" thickBot="1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0" t="s">
        <v>11</v>
      </c>
      <c r="I6" s="141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46188</v>
      </c>
      <c r="C7" s="60" t="s">
        <v>85</v>
      </c>
      <c r="D7" s="61">
        <v>0.375</v>
      </c>
      <c r="E7" s="61">
        <v>0.5625</v>
      </c>
      <c r="F7" s="62">
        <v>4.5</v>
      </c>
      <c r="G7" s="63">
        <v>1</v>
      </c>
      <c r="H7" s="122"/>
      <c r="I7" s="123"/>
      <c r="J7" s="63" t="s">
        <v>87</v>
      </c>
      <c r="K7" s="63" t="s">
        <v>86</v>
      </c>
      <c r="L7" s="63" t="s">
        <v>98</v>
      </c>
      <c r="M7" s="98">
        <v>26.4</v>
      </c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6" customFormat="1" ht="38.25" customHeight="1">
      <c r="B8" s="59">
        <v>46189</v>
      </c>
      <c r="C8" s="60" t="s">
        <v>79</v>
      </c>
      <c r="D8" s="61">
        <v>0.58333333333333337</v>
      </c>
      <c r="E8" s="61">
        <v>0.66666666666666663</v>
      </c>
      <c r="F8" s="62">
        <v>2</v>
      </c>
      <c r="G8" s="63">
        <v>6</v>
      </c>
      <c r="H8" s="122" t="s">
        <v>96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2" customFormat="1" ht="38.25" customHeight="1">
      <c r="B9" s="59">
        <v>46191</v>
      </c>
      <c r="C9" s="60" t="s">
        <v>79</v>
      </c>
      <c r="D9" s="61">
        <v>0.41666666666666669</v>
      </c>
      <c r="E9" s="61">
        <v>0.5</v>
      </c>
      <c r="F9" s="62">
        <v>2</v>
      </c>
      <c r="G9" s="63">
        <v>6</v>
      </c>
      <c r="H9" s="122" t="s">
        <v>80</v>
      </c>
      <c r="I9" s="123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64" customFormat="1" ht="22.2" thickBot="1">
      <c r="A10" s="2"/>
      <c r="B10" s="56"/>
      <c r="C10" s="56"/>
      <c r="D10" s="127" t="s">
        <v>17</v>
      </c>
      <c r="E10" s="136"/>
      <c r="F10" s="73">
        <f>SUM(F7:F9)</f>
        <v>8.5</v>
      </c>
      <c r="G10" s="58" t="s">
        <v>18</v>
      </c>
      <c r="H10" s="129"/>
      <c r="I10" s="137"/>
      <c r="J10" s="124" t="s">
        <v>19</v>
      </c>
      <c r="K10" s="138"/>
      <c r="L10" s="139"/>
      <c r="M10" s="66">
        <f>SUM(M7:M9)</f>
        <v>26.4</v>
      </c>
      <c r="N10" s="6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64" customFormat="1" ht="15.6">
      <c r="A11" s="1"/>
      <c r="B11" s="130" t="s">
        <v>81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64" customFormat="1" ht="15.6">
      <c r="A12" s="1"/>
      <c r="B12" s="103" t="s">
        <v>21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64" customFormat="1" ht="16.2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64" customFormat="1" ht="15.6">
      <c r="A14" s="1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64" customFormat="1" ht="15.6">
      <c r="A15" s="1"/>
      <c r="B15" s="99" t="s">
        <v>22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thickBot="1">
      <c r="A16" s="1"/>
      <c r="B16" s="105" t="s">
        <v>23</v>
      </c>
      <c r="C16" s="106"/>
      <c r="D16" s="22"/>
      <c r="E16" s="22"/>
      <c r="F16" s="22">
        <f>F10</f>
        <v>8.5</v>
      </c>
      <c r="G16" s="23" t="s">
        <v>18</v>
      </c>
      <c r="H16" s="24" t="s">
        <v>52</v>
      </c>
      <c r="I16" s="25" t="s">
        <v>24</v>
      </c>
      <c r="J16" s="23">
        <f>F16*75</f>
        <v>637.5</v>
      </c>
      <c r="K16" s="26"/>
      <c r="L16" s="24"/>
      <c r="M16" s="27"/>
      <c r="N16" s="2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thickBot="1">
      <c r="A17" s="1"/>
      <c r="B17" s="105" t="s">
        <v>25</v>
      </c>
      <c r="C17" s="106"/>
      <c r="D17" s="24"/>
      <c r="E17" s="24"/>
      <c r="F17" s="24"/>
      <c r="G17" s="24"/>
      <c r="H17" s="24" t="s">
        <v>26</v>
      </c>
      <c r="I17" s="29" t="s">
        <v>24</v>
      </c>
      <c r="J17" s="45">
        <f>M10</f>
        <v>26.4</v>
      </c>
      <c r="K17" s="30"/>
      <c r="L17" s="24"/>
      <c r="M17" s="31"/>
      <c r="N17" s="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 thickBot="1">
      <c r="A18" s="1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"/>
      <c r="B20" s="36" t="s">
        <v>27</v>
      </c>
      <c r="C20" s="36"/>
      <c r="D20" s="36"/>
      <c r="E20" s="36"/>
      <c r="F20" s="36"/>
      <c r="G20" s="36"/>
      <c r="H20" s="36"/>
      <c r="I20" s="36"/>
      <c r="J20" s="36"/>
      <c r="K20" s="36" t="s">
        <v>28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7.5" customHeight="1" thickBot="1">
      <c r="A21" s="1"/>
      <c r="B21" s="37"/>
      <c r="C21" s="37"/>
      <c r="D21" s="37"/>
      <c r="E21" s="37"/>
      <c r="F21" s="37"/>
      <c r="G21" s="37"/>
      <c r="H21" s="37"/>
      <c r="I21" s="37"/>
      <c r="J21" s="1"/>
      <c r="K21" s="37"/>
      <c r="L21" s="37"/>
      <c r="M21" s="37"/>
      <c r="N21" s="3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>
      <c r="A22" s="36"/>
      <c r="B22" s="38" t="s">
        <v>40</v>
      </c>
      <c r="D22" s="43" t="s">
        <v>46</v>
      </c>
      <c r="E22" s="44"/>
      <c r="I22" s="38" t="s">
        <v>39</v>
      </c>
      <c r="J22" s="39"/>
      <c r="K22" s="38" t="s">
        <v>29</v>
      </c>
      <c r="L22" s="88" t="s">
        <v>82</v>
      </c>
      <c r="M22" s="38"/>
      <c r="N22" s="39" t="s">
        <v>30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6">
      <c r="A23" s="1"/>
      <c r="B23" s="107" t="s">
        <v>31</v>
      </c>
      <c r="C23" s="108"/>
      <c r="D23" s="48"/>
      <c r="E23" s="48"/>
      <c r="F23" s="48"/>
      <c r="G23" s="48"/>
      <c r="H23" s="40"/>
      <c r="I23" s="40"/>
      <c r="J23" s="40"/>
      <c r="K23" s="48" t="s">
        <v>32</v>
      </c>
      <c r="L23" s="40"/>
      <c r="M23" s="40"/>
      <c r="N23" s="4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46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6">
      <c r="A25" s="1"/>
      <c r="B25" s="41" t="s">
        <v>33</v>
      </c>
      <c r="C25" s="40"/>
      <c r="D25" s="40"/>
      <c r="E25" s="40"/>
      <c r="F25" s="40"/>
      <c r="G25" s="40"/>
      <c r="H25" s="40"/>
      <c r="I25" s="40"/>
      <c r="J25" s="4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>
      <c r="A26" s="42"/>
      <c r="B26" s="110" t="s">
        <v>34</v>
      </c>
      <c r="C26" s="110"/>
      <c r="D26" s="110"/>
      <c r="E26" s="110"/>
      <c r="F26" s="110"/>
      <c r="G26" s="110" t="s">
        <v>35</v>
      </c>
      <c r="H26" s="110"/>
      <c r="I26" s="110"/>
      <c r="J26" s="110"/>
      <c r="K26" s="110"/>
      <c r="L26" s="110"/>
      <c r="M26" s="110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6">
      <c r="A27" s="1"/>
      <c r="B27" s="110" t="s">
        <v>36</v>
      </c>
      <c r="C27" s="110"/>
      <c r="D27" s="110"/>
      <c r="E27" s="110"/>
      <c r="F27" s="110"/>
      <c r="G27" s="110" t="s">
        <v>37</v>
      </c>
      <c r="H27" s="108"/>
      <c r="I27" s="108"/>
      <c r="J27" s="10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1"/>
      <c r="B28" s="46"/>
      <c r="C28" s="46"/>
      <c r="D28" s="46"/>
      <c r="E28" s="46"/>
      <c r="F28" s="46"/>
      <c r="G28" s="46"/>
      <c r="H28" s="46"/>
      <c r="I28" s="46"/>
      <c r="J28" s="4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104" t="s">
        <v>38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4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22">
    <mergeCell ref="H8:I8"/>
    <mergeCell ref="H9:I9"/>
    <mergeCell ref="H7:I7"/>
    <mergeCell ref="B1:N1"/>
    <mergeCell ref="B2:N2"/>
    <mergeCell ref="B3:N3"/>
    <mergeCell ref="H6:I6"/>
    <mergeCell ref="B29:N29"/>
    <mergeCell ref="B23:C23"/>
    <mergeCell ref="B24:N24"/>
    <mergeCell ref="B26:F26"/>
    <mergeCell ref="G26:M26"/>
    <mergeCell ref="B27:F27"/>
    <mergeCell ref="G27:J27"/>
    <mergeCell ref="B17:C17"/>
    <mergeCell ref="D10:E10"/>
    <mergeCell ref="H10:I10"/>
    <mergeCell ref="J10:L10"/>
    <mergeCell ref="B12:N12"/>
    <mergeCell ref="B16:C16"/>
    <mergeCell ref="B11:N11"/>
    <mergeCell ref="B15:N15"/>
  </mergeCells>
  <phoneticPr fontId="12" type="noConversion"/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587F-03D8-487F-93D8-B7C6584E9508}">
  <sheetPr>
    <pageSetUpPr fitToPage="1"/>
  </sheetPr>
  <dimension ref="A1:Z992"/>
  <sheetViews>
    <sheetView zoomScale="55" zoomScaleNormal="55" workbookViewId="0">
      <selection activeCell="K8" sqref="K8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47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.600000000000001" thickBot="1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2" t="s">
        <v>11</v>
      </c>
      <c r="I6" s="143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46182</v>
      </c>
      <c r="C7" s="60" t="s">
        <v>79</v>
      </c>
      <c r="D7" s="61">
        <v>0.58333333333333337</v>
      </c>
      <c r="E7" s="61">
        <v>0.66666666666666663</v>
      </c>
      <c r="F7" s="62">
        <v>2</v>
      </c>
      <c r="G7" s="63">
        <v>5</v>
      </c>
      <c r="H7" s="122" t="s">
        <v>96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2" customFormat="1" ht="38.25" customHeight="1">
      <c r="B8" s="59">
        <v>46191</v>
      </c>
      <c r="C8" s="60" t="s">
        <v>79</v>
      </c>
      <c r="D8" s="61">
        <v>0.41666666666666669</v>
      </c>
      <c r="E8" s="61">
        <v>0.5</v>
      </c>
      <c r="F8" s="62">
        <v>2</v>
      </c>
      <c r="G8" s="63">
        <v>6</v>
      </c>
      <c r="H8" s="122" t="s">
        <v>80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ht="18.600000000000001" customHeight="1" thickBot="1">
      <c r="A9" s="2"/>
      <c r="B9" s="56"/>
      <c r="C9" s="56"/>
      <c r="D9" s="127" t="s">
        <v>17</v>
      </c>
      <c r="E9" s="128"/>
      <c r="F9" s="57">
        <f>SUM(F7:F8)</f>
        <v>4</v>
      </c>
      <c r="G9" s="58" t="s">
        <v>18</v>
      </c>
      <c r="H9" s="129"/>
      <c r="I9" s="126"/>
      <c r="J9" s="124" t="s">
        <v>19</v>
      </c>
      <c r="K9" s="125"/>
      <c r="L9" s="126"/>
      <c r="M9" s="66">
        <f>SUM(M8:M8)</f>
        <v>0</v>
      </c>
      <c r="N9" s="6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1"/>
      <c r="B10" s="130" t="s">
        <v>77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>
      <c r="A11" s="1"/>
      <c r="B11" s="103" t="s">
        <v>21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1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99" t="s">
        <v>22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thickBot="1">
      <c r="A15" s="1"/>
      <c r="B15" s="105" t="s">
        <v>23</v>
      </c>
      <c r="C15" s="106"/>
      <c r="D15" s="22"/>
      <c r="E15" s="22"/>
      <c r="F15" s="22">
        <f>F9</f>
        <v>4</v>
      </c>
      <c r="G15" s="23" t="s">
        <v>18</v>
      </c>
      <c r="H15" s="24" t="s">
        <v>52</v>
      </c>
      <c r="I15" s="25" t="s">
        <v>24</v>
      </c>
      <c r="J15" s="23">
        <f>F15*75</f>
        <v>300</v>
      </c>
      <c r="K15" s="26"/>
      <c r="L15" s="24"/>
      <c r="M15" s="27"/>
      <c r="N15" s="2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thickBot="1">
      <c r="A16" s="1"/>
      <c r="B16" s="105" t="s">
        <v>25</v>
      </c>
      <c r="C16" s="106"/>
      <c r="D16" s="24"/>
      <c r="E16" s="24"/>
      <c r="F16" s="24"/>
      <c r="G16" s="24"/>
      <c r="H16" s="24" t="s">
        <v>26</v>
      </c>
      <c r="I16" s="29" t="s">
        <v>24</v>
      </c>
      <c r="J16" s="45">
        <f>M9</f>
        <v>0</v>
      </c>
      <c r="K16" s="30"/>
      <c r="L16" s="24"/>
      <c r="M16" s="31"/>
      <c r="N16" s="3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 thickBot="1">
      <c r="A17" s="1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1"/>
      <c r="B19" s="36" t="s">
        <v>27</v>
      </c>
      <c r="C19" s="36"/>
      <c r="D19" s="36"/>
      <c r="E19" s="36"/>
      <c r="F19" s="36"/>
      <c r="G19" s="36"/>
      <c r="H19" s="36"/>
      <c r="I19" s="36"/>
      <c r="J19" s="36"/>
      <c r="K19" s="36" t="s">
        <v>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7.5" customHeight="1" thickBot="1">
      <c r="A20" s="1"/>
      <c r="B20" s="37"/>
      <c r="C20" s="37"/>
      <c r="D20" s="37"/>
      <c r="E20" s="37"/>
      <c r="F20" s="37"/>
      <c r="G20" s="37"/>
      <c r="H20" s="37"/>
      <c r="I20" s="37"/>
      <c r="J20" s="1"/>
      <c r="K20" s="37"/>
      <c r="L20" s="37"/>
      <c r="M20" s="37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>
      <c r="A21" s="36"/>
      <c r="B21" s="38" t="s">
        <v>40</v>
      </c>
      <c r="D21" s="43" t="s">
        <v>47</v>
      </c>
      <c r="E21" s="44"/>
      <c r="I21" s="38" t="s">
        <v>39</v>
      </c>
      <c r="J21" s="39"/>
      <c r="K21" s="38" t="s">
        <v>29</v>
      </c>
      <c r="L21" s="88" t="s">
        <v>82</v>
      </c>
      <c r="M21" s="38"/>
      <c r="N21" s="39" t="s">
        <v>30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>
      <c r="A22" s="1"/>
      <c r="B22" s="107" t="s">
        <v>31</v>
      </c>
      <c r="C22" s="108"/>
      <c r="D22" s="48"/>
      <c r="E22" s="48"/>
      <c r="F22" s="48"/>
      <c r="G22" s="48"/>
      <c r="H22" s="40"/>
      <c r="I22" s="40"/>
      <c r="J22" s="40"/>
      <c r="K22" s="48" t="s">
        <v>32</v>
      </c>
      <c r="L22" s="40"/>
      <c r="M22" s="40"/>
      <c r="N22" s="4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46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6">
      <c r="A24" s="1"/>
      <c r="B24" s="41" t="s">
        <v>33</v>
      </c>
      <c r="C24" s="40"/>
      <c r="D24" s="40"/>
      <c r="E24" s="40"/>
      <c r="F24" s="40"/>
      <c r="G24" s="40"/>
      <c r="H24" s="40"/>
      <c r="I24" s="40"/>
      <c r="J24" s="4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>
      <c r="A25" s="42"/>
      <c r="B25" s="110" t="s">
        <v>34</v>
      </c>
      <c r="C25" s="108"/>
      <c r="D25" s="108"/>
      <c r="E25" s="108"/>
      <c r="F25" s="108"/>
      <c r="G25" s="110" t="s">
        <v>35</v>
      </c>
      <c r="H25" s="110"/>
      <c r="I25" s="110"/>
      <c r="J25" s="110"/>
      <c r="K25" s="110"/>
      <c r="L25" s="110"/>
      <c r="M25" s="110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6">
      <c r="A26" s="1"/>
      <c r="B26" s="110" t="s">
        <v>36</v>
      </c>
      <c r="C26" s="108"/>
      <c r="D26" s="108"/>
      <c r="E26" s="108"/>
      <c r="F26" s="108"/>
      <c r="G26" s="110" t="s">
        <v>37</v>
      </c>
      <c r="H26" s="108"/>
      <c r="I26" s="108"/>
      <c r="J26" s="10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1"/>
      <c r="B27" s="46"/>
      <c r="C27" s="46"/>
      <c r="D27" s="46"/>
      <c r="E27" s="46"/>
      <c r="F27" s="46"/>
      <c r="G27" s="46"/>
      <c r="H27" s="46"/>
      <c r="I27" s="46"/>
      <c r="J27" s="4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1"/>
      <c r="B28" s="104" t="s">
        <v>38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sortState ref="B8:N8">
    <sortCondition ref="B8"/>
  </sortState>
  <mergeCells count="21">
    <mergeCell ref="B14:N14"/>
    <mergeCell ref="D9:E9"/>
    <mergeCell ref="H9:I9"/>
    <mergeCell ref="J9:L9"/>
    <mergeCell ref="B10:N10"/>
    <mergeCell ref="B11:N11"/>
    <mergeCell ref="B15:C15"/>
    <mergeCell ref="B28:N28"/>
    <mergeCell ref="B22:C22"/>
    <mergeCell ref="B23:N23"/>
    <mergeCell ref="B25:F25"/>
    <mergeCell ref="G25:M25"/>
    <mergeCell ref="B26:F26"/>
    <mergeCell ref="G26:J26"/>
    <mergeCell ref="B16:C16"/>
    <mergeCell ref="B1:N1"/>
    <mergeCell ref="B2:N2"/>
    <mergeCell ref="B3:N3"/>
    <mergeCell ref="H6:I6"/>
    <mergeCell ref="H8:I8"/>
    <mergeCell ref="H7:I7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1D4A-52F8-433A-BB4B-204294913E4D}">
  <sheetPr>
    <pageSetUpPr fitToPage="1"/>
  </sheetPr>
  <dimension ref="A1:Z992"/>
  <sheetViews>
    <sheetView zoomScale="50" zoomScaleNormal="50" workbookViewId="0">
      <selection activeCell="K5" sqref="K5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48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.600000000000001" thickBot="1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2" t="s">
        <v>11</v>
      </c>
      <c r="I6" s="143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46189</v>
      </c>
      <c r="C7" s="60" t="s">
        <v>79</v>
      </c>
      <c r="D7" s="61">
        <v>0.58333333333333337</v>
      </c>
      <c r="E7" s="61">
        <v>0.66666666666666663</v>
      </c>
      <c r="F7" s="62">
        <v>2</v>
      </c>
      <c r="G7" s="63">
        <v>5</v>
      </c>
      <c r="H7" s="122" t="s">
        <v>96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0" customFormat="1" ht="38.25" customHeight="1" thickBot="1">
      <c r="B8" s="59">
        <v>46191</v>
      </c>
      <c r="C8" s="60" t="s">
        <v>79</v>
      </c>
      <c r="D8" s="61">
        <v>0.41666666666666669</v>
      </c>
      <c r="E8" s="61">
        <v>0.5</v>
      </c>
      <c r="F8" s="62">
        <v>2</v>
      </c>
      <c r="G8" s="63">
        <v>6</v>
      </c>
      <c r="H8" s="122" t="s">
        <v>80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ht="22.2" thickBot="1">
      <c r="A9" s="2"/>
      <c r="B9" s="14"/>
      <c r="C9" s="14"/>
      <c r="D9" s="144" t="s">
        <v>17</v>
      </c>
      <c r="E9" s="145"/>
      <c r="F9" s="15">
        <f>SUM(F7:F8)</f>
        <v>4</v>
      </c>
      <c r="G9" s="16" t="s">
        <v>18</v>
      </c>
      <c r="H9" s="146"/>
      <c r="I9" s="147"/>
      <c r="J9" s="148" t="s">
        <v>19</v>
      </c>
      <c r="K9" s="149"/>
      <c r="L9" s="147"/>
      <c r="M9" s="17">
        <f>SUM(M8:M8)</f>
        <v>0</v>
      </c>
      <c r="N9" s="1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1"/>
      <c r="B10" s="130" t="s">
        <v>20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>
      <c r="A11" s="1"/>
      <c r="B11" s="103" t="s">
        <v>21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>
      <c r="A13" s="1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99" t="s">
        <v>22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thickBot="1">
      <c r="A15" s="1"/>
      <c r="B15" s="105" t="s">
        <v>23</v>
      </c>
      <c r="C15" s="106"/>
      <c r="D15" s="22"/>
      <c r="E15" s="22"/>
      <c r="F15" s="22">
        <f>F9</f>
        <v>4</v>
      </c>
      <c r="G15" s="23" t="s">
        <v>18</v>
      </c>
      <c r="H15" s="24" t="s">
        <v>52</v>
      </c>
      <c r="I15" s="25" t="s">
        <v>24</v>
      </c>
      <c r="J15" s="23">
        <f>F15*75</f>
        <v>300</v>
      </c>
      <c r="K15" s="26"/>
      <c r="L15" s="24"/>
      <c r="M15" s="27"/>
      <c r="N15" s="2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thickBot="1">
      <c r="A16" s="1"/>
      <c r="B16" s="105" t="s">
        <v>25</v>
      </c>
      <c r="C16" s="106"/>
      <c r="D16" s="24"/>
      <c r="E16" s="24"/>
      <c r="F16" s="24"/>
      <c r="G16" s="24"/>
      <c r="H16" s="24" t="s">
        <v>26</v>
      </c>
      <c r="I16" s="29" t="s">
        <v>24</v>
      </c>
      <c r="J16" s="45">
        <f>M9</f>
        <v>0</v>
      </c>
      <c r="K16" s="30"/>
      <c r="L16" s="24"/>
      <c r="M16" s="31"/>
      <c r="N16" s="3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 thickBot="1">
      <c r="A17" s="1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1"/>
      <c r="B19" s="36" t="s">
        <v>27</v>
      </c>
      <c r="C19" s="36"/>
      <c r="D19" s="36"/>
      <c r="E19" s="36"/>
      <c r="F19" s="36"/>
      <c r="G19" s="36"/>
      <c r="H19" s="36"/>
      <c r="I19" s="36"/>
      <c r="J19" s="36"/>
      <c r="K19" s="36" t="s">
        <v>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7.5" customHeight="1" thickBot="1">
      <c r="A20" s="1"/>
      <c r="B20" s="37"/>
      <c r="C20" s="37"/>
      <c r="D20" s="37"/>
      <c r="E20" s="37"/>
      <c r="F20" s="37"/>
      <c r="G20" s="37"/>
      <c r="H20" s="37"/>
      <c r="I20" s="37"/>
      <c r="J20" s="1"/>
      <c r="K20" s="37"/>
      <c r="L20" s="37"/>
      <c r="M20" s="37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>
      <c r="A21" s="36"/>
      <c r="B21" s="38" t="s">
        <v>40</v>
      </c>
      <c r="D21" s="43" t="s">
        <v>48</v>
      </c>
      <c r="E21" s="44"/>
      <c r="I21" s="38" t="s">
        <v>39</v>
      </c>
      <c r="J21" s="39"/>
      <c r="K21" s="38" t="s">
        <v>29</v>
      </c>
      <c r="L21" s="88" t="s">
        <v>82</v>
      </c>
      <c r="M21" s="38"/>
      <c r="N21" s="39" t="s">
        <v>30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>
      <c r="A22" s="1"/>
      <c r="B22" s="107" t="s">
        <v>31</v>
      </c>
      <c r="C22" s="108"/>
      <c r="D22" s="48"/>
      <c r="E22" s="48"/>
      <c r="F22" s="48"/>
      <c r="G22" s="48"/>
      <c r="H22" s="40"/>
      <c r="I22" s="40"/>
      <c r="J22" s="40"/>
      <c r="K22" s="48" t="s">
        <v>32</v>
      </c>
      <c r="L22" s="40"/>
      <c r="M22" s="40"/>
      <c r="N22" s="4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46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6">
      <c r="A24" s="1"/>
      <c r="B24" s="41" t="s">
        <v>33</v>
      </c>
      <c r="C24" s="40"/>
      <c r="D24" s="40"/>
      <c r="E24" s="40"/>
      <c r="F24" s="40"/>
      <c r="G24" s="40"/>
      <c r="H24" s="40"/>
      <c r="I24" s="40"/>
      <c r="J24" s="4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>
      <c r="A25" s="42"/>
      <c r="B25" s="110" t="s">
        <v>34</v>
      </c>
      <c r="C25" s="108"/>
      <c r="D25" s="108"/>
      <c r="E25" s="108"/>
      <c r="F25" s="108"/>
      <c r="G25" s="110" t="s">
        <v>35</v>
      </c>
      <c r="H25" s="110"/>
      <c r="I25" s="110"/>
      <c r="J25" s="110"/>
      <c r="K25" s="110"/>
      <c r="L25" s="110"/>
      <c r="M25" s="110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6">
      <c r="A26" s="1"/>
      <c r="B26" s="110" t="s">
        <v>36</v>
      </c>
      <c r="C26" s="108"/>
      <c r="D26" s="108"/>
      <c r="E26" s="108"/>
      <c r="F26" s="108"/>
      <c r="G26" s="110" t="s">
        <v>37</v>
      </c>
      <c r="H26" s="108"/>
      <c r="I26" s="108"/>
      <c r="J26" s="10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1"/>
      <c r="B27" s="46"/>
      <c r="C27" s="46"/>
      <c r="D27" s="46"/>
      <c r="E27" s="46"/>
      <c r="F27" s="46"/>
      <c r="G27" s="46"/>
      <c r="H27" s="46"/>
      <c r="I27" s="46"/>
      <c r="J27" s="4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1"/>
      <c r="B28" s="104" t="s">
        <v>38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sortState ref="B8:H8">
    <sortCondition ref="B6"/>
  </sortState>
  <mergeCells count="21">
    <mergeCell ref="H8:I8"/>
    <mergeCell ref="B16:C16"/>
    <mergeCell ref="D9:E9"/>
    <mergeCell ref="H9:I9"/>
    <mergeCell ref="J9:L9"/>
    <mergeCell ref="B10:N10"/>
    <mergeCell ref="B11:N11"/>
    <mergeCell ref="B14:N14"/>
    <mergeCell ref="B15:C15"/>
    <mergeCell ref="B28:N28"/>
    <mergeCell ref="B22:C22"/>
    <mergeCell ref="B23:N23"/>
    <mergeCell ref="B25:F25"/>
    <mergeCell ref="G25:M25"/>
    <mergeCell ref="B26:F26"/>
    <mergeCell ref="G26:J26"/>
    <mergeCell ref="H7:I7"/>
    <mergeCell ref="B1:N1"/>
    <mergeCell ref="B2:N2"/>
    <mergeCell ref="B3:N3"/>
    <mergeCell ref="H6:I6"/>
  </mergeCells>
  <phoneticPr fontId="12" type="noConversion"/>
  <pageMargins left="0.7" right="0.7" top="0.75" bottom="0.75" header="0.3" footer="0.3"/>
  <pageSetup paperSize="9" scale="5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3625-ECE6-4FEE-AC65-D2EFC901D2D5}">
  <sheetPr>
    <pageSetUpPr fitToPage="1"/>
  </sheetPr>
  <dimension ref="A1:Z998"/>
  <sheetViews>
    <sheetView zoomScale="60" zoomScaleNormal="60" workbookViewId="0">
      <selection activeCell="F12" sqref="F12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49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90" customFormat="1" ht="18.600000000000001" thickBot="1">
      <c r="A6" s="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>
      <c r="A7" s="1"/>
      <c r="B7" s="8" t="s">
        <v>5</v>
      </c>
      <c r="C7" s="8" t="s">
        <v>6</v>
      </c>
      <c r="D7" s="9" t="s">
        <v>7</v>
      </c>
      <c r="E7" s="10" t="s">
        <v>8</v>
      </c>
      <c r="F7" s="11" t="s">
        <v>9</v>
      </c>
      <c r="G7" s="12" t="s">
        <v>10</v>
      </c>
      <c r="H7" s="140" t="s">
        <v>11</v>
      </c>
      <c r="I7" s="141"/>
      <c r="J7" s="13" t="s">
        <v>12</v>
      </c>
      <c r="K7" s="13" t="s">
        <v>13</v>
      </c>
      <c r="L7" s="13" t="s">
        <v>14</v>
      </c>
      <c r="M7" s="13" t="s">
        <v>15</v>
      </c>
      <c r="N7" s="13" t="s">
        <v>16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96" customFormat="1" ht="38.25" customHeight="1">
      <c r="B8" s="59">
        <v>46175</v>
      </c>
      <c r="C8" s="60" t="s">
        <v>93</v>
      </c>
      <c r="D8" s="61">
        <v>0.54166666666666663</v>
      </c>
      <c r="E8" s="61">
        <v>0.58333333333333337</v>
      </c>
      <c r="F8" s="62">
        <v>1</v>
      </c>
      <c r="G8" s="63">
        <v>5</v>
      </c>
      <c r="H8" s="122" t="s">
        <v>95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6" customFormat="1" ht="38.25" customHeight="1">
      <c r="B9" s="59">
        <v>46177</v>
      </c>
      <c r="C9" s="60" t="s">
        <v>92</v>
      </c>
      <c r="D9" s="61">
        <v>0.375</v>
      </c>
      <c r="E9" s="61">
        <v>0.45833333333333331</v>
      </c>
      <c r="F9" s="62">
        <v>2</v>
      </c>
      <c r="G9" s="63">
        <v>1</v>
      </c>
      <c r="H9" s="122"/>
      <c r="I9" s="123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96" customFormat="1" ht="38.25" customHeight="1">
      <c r="B10" s="59">
        <v>46182</v>
      </c>
      <c r="C10" s="60" t="s">
        <v>93</v>
      </c>
      <c r="D10" s="61">
        <v>0.54166666666666663</v>
      </c>
      <c r="E10" s="61">
        <v>0.66666666666666663</v>
      </c>
      <c r="F10" s="62">
        <v>3</v>
      </c>
      <c r="G10" s="63">
        <v>5</v>
      </c>
      <c r="H10" s="122" t="s">
        <v>94</v>
      </c>
      <c r="I10" s="123"/>
      <c r="J10" s="63"/>
      <c r="K10" s="63"/>
      <c r="L10" s="63"/>
      <c r="M10" s="63"/>
      <c r="N10" s="63"/>
      <c r="O10" s="1"/>
      <c r="P10" s="1"/>
      <c r="Q10" s="1"/>
      <c r="R10" s="1"/>
      <c r="S10" s="1"/>
      <c r="T10" s="1"/>
      <c r="U10" s="1"/>
      <c r="V10" s="1"/>
      <c r="W10" s="1"/>
    </row>
    <row r="11" spans="1:26" s="96" customFormat="1" ht="38.25" customHeight="1">
      <c r="B11" s="59">
        <v>46182</v>
      </c>
      <c r="C11" s="60" t="s">
        <v>93</v>
      </c>
      <c r="D11" s="61">
        <v>0.66666666666666663</v>
      </c>
      <c r="E11" s="61">
        <v>0.70833333333333337</v>
      </c>
      <c r="F11" s="62">
        <v>1</v>
      </c>
      <c r="G11" s="63">
        <v>5</v>
      </c>
      <c r="H11" s="122" t="s">
        <v>95</v>
      </c>
      <c r="I11" s="12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  <c r="W11" s="1"/>
    </row>
    <row r="12" spans="1:26" s="96" customFormat="1" ht="38.25" customHeight="1">
      <c r="B12" s="59">
        <v>46189</v>
      </c>
      <c r="C12" s="60" t="s">
        <v>93</v>
      </c>
      <c r="D12" s="61">
        <v>0.54166666666666663</v>
      </c>
      <c r="E12" s="61">
        <v>0.66666666666666663</v>
      </c>
      <c r="F12" s="62">
        <v>3</v>
      </c>
      <c r="G12" s="63">
        <v>5</v>
      </c>
      <c r="H12" s="122" t="s">
        <v>94</v>
      </c>
      <c r="I12" s="123"/>
      <c r="J12" s="63"/>
      <c r="K12" s="63"/>
      <c r="L12" s="63"/>
      <c r="M12" s="63"/>
      <c r="N12" s="63"/>
      <c r="O12" s="1"/>
      <c r="P12" s="1"/>
      <c r="Q12" s="1"/>
      <c r="R12" s="1"/>
      <c r="S12" s="1"/>
      <c r="T12" s="1"/>
      <c r="U12" s="1"/>
      <c r="V12" s="1"/>
      <c r="W12" s="1"/>
    </row>
    <row r="13" spans="1:26" s="96" customFormat="1" ht="38.25" customHeight="1">
      <c r="B13" s="59">
        <v>46189</v>
      </c>
      <c r="C13" s="60" t="s">
        <v>93</v>
      </c>
      <c r="D13" s="61">
        <v>0.66666666666666663</v>
      </c>
      <c r="E13" s="61">
        <v>0.70833333333333337</v>
      </c>
      <c r="F13" s="62">
        <v>1</v>
      </c>
      <c r="G13" s="63">
        <v>5</v>
      </c>
      <c r="H13" s="122" t="s">
        <v>95</v>
      </c>
      <c r="I13" s="123"/>
      <c r="J13" s="63"/>
      <c r="K13" s="63"/>
      <c r="L13" s="63"/>
      <c r="M13" s="63"/>
      <c r="N13" s="63"/>
      <c r="O13" s="1"/>
      <c r="P13" s="1"/>
      <c r="Q13" s="1"/>
      <c r="R13" s="1"/>
      <c r="S13" s="1"/>
      <c r="T13" s="1"/>
      <c r="U13" s="1"/>
      <c r="V13" s="1"/>
      <c r="W13" s="1"/>
    </row>
    <row r="14" spans="1:26" s="89" customFormat="1" ht="38.25" customHeight="1">
      <c r="B14" s="59">
        <v>46191</v>
      </c>
      <c r="C14" s="60" t="s">
        <v>79</v>
      </c>
      <c r="D14" s="61">
        <v>0.41666666666666669</v>
      </c>
      <c r="E14" s="61">
        <v>0.5</v>
      </c>
      <c r="F14" s="62">
        <v>2</v>
      </c>
      <c r="G14" s="63">
        <v>6</v>
      </c>
      <c r="H14" s="122" t="s">
        <v>80</v>
      </c>
      <c r="I14" s="123"/>
      <c r="J14" s="63"/>
      <c r="K14" s="63"/>
      <c r="L14" s="63"/>
      <c r="M14" s="63"/>
      <c r="N14" s="63"/>
      <c r="O14" s="1"/>
      <c r="P14" s="1"/>
      <c r="Q14" s="1"/>
      <c r="R14" s="1"/>
      <c r="S14" s="1"/>
      <c r="T14" s="1"/>
      <c r="U14" s="1"/>
      <c r="V14" s="1"/>
      <c r="W14" s="1"/>
    </row>
    <row r="15" spans="1:26" ht="22.2" thickBot="1">
      <c r="A15" s="2"/>
      <c r="B15" s="56"/>
      <c r="C15" s="56"/>
      <c r="D15" s="127" t="s">
        <v>17</v>
      </c>
      <c r="E15" s="128"/>
      <c r="F15" s="57">
        <f>SUM(F8:F14)</f>
        <v>13</v>
      </c>
      <c r="G15" s="58" t="s">
        <v>18</v>
      </c>
      <c r="H15" s="129"/>
      <c r="I15" s="126"/>
      <c r="J15" s="124" t="s">
        <v>19</v>
      </c>
      <c r="K15" s="125"/>
      <c r="L15" s="126"/>
      <c r="M15" s="66">
        <f>SUM(M14:M14)</f>
        <v>0</v>
      </c>
      <c r="N15" s="67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>
      <c r="A16" s="1"/>
      <c r="B16" s="130" t="s">
        <v>20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103" t="s">
        <v>55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 thickBo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1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"/>
      <c r="B20" s="99" t="s">
        <v>22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thickBot="1">
      <c r="A21" s="1"/>
      <c r="B21" s="105" t="s">
        <v>23</v>
      </c>
      <c r="C21" s="106"/>
      <c r="D21" s="22"/>
      <c r="E21" s="22"/>
      <c r="F21" s="22">
        <f>F15</f>
        <v>13</v>
      </c>
      <c r="G21" s="23" t="s">
        <v>18</v>
      </c>
      <c r="H21" s="24" t="s">
        <v>52</v>
      </c>
      <c r="I21" s="25" t="s">
        <v>24</v>
      </c>
      <c r="J21" s="23">
        <f>F21*75</f>
        <v>975</v>
      </c>
      <c r="K21" s="26"/>
      <c r="L21" s="24"/>
      <c r="M21" s="27"/>
      <c r="N21" s="2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thickBot="1">
      <c r="A22" s="1"/>
      <c r="B22" s="105" t="s">
        <v>25</v>
      </c>
      <c r="C22" s="106"/>
      <c r="D22" s="24"/>
      <c r="E22" s="24"/>
      <c r="F22" s="24"/>
      <c r="G22" s="24"/>
      <c r="H22" s="24" t="s">
        <v>26</v>
      </c>
      <c r="I22" s="29" t="s">
        <v>24</v>
      </c>
      <c r="J22" s="76">
        <f>M15</f>
        <v>0</v>
      </c>
      <c r="K22" s="30"/>
      <c r="L22" s="24"/>
      <c r="M22" s="31"/>
      <c r="N22" s="3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 thickBot="1">
      <c r="A23" s="1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>
      <c r="A25" s="1"/>
      <c r="B25" s="36" t="s">
        <v>27</v>
      </c>
      <c r="C25" s="36"/>
      <c r="D25" s="36"/>
      <c r="E25" s="36"/>
      <c r="F25" s="36"/>
      <c r="G25" s="36"/>
      <c r="H25" s="36"/>
      <c r="I25" s="36"/>
      <c r="J25" s="36"/>
      <c r="K25" s="36" t="s">
        <v>28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7.5" customHeight="1" thickBot="1">
      <c r="A26" s="1"/>
      <c r="B26" s="37"/>
      <c r="C26" s="37"/>
      <c r="D26" s="37"/>
      <c r="E26" s="37"/>
      <c r="F26" s="37"/>
      <c r="G26" s="37"/>
      <c r="H26" s="37"/>
      <c r="I26" s="37"/>
      <c r="J26" s="1"/>
      <c r="K26" s="37"/>
      <c r="L26" s="37"/>
      <c r="M26" s="37"/>
      <c r="N26" s="3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>
      <c r="A27" s="36"/>
      <c r="B27" s="38" t="s">
        <v>40</v>
      </c>
      <c r="D27" s="43" t="s">
        <v>49</v>
      </c>
      <c r="E27" s="44"/>
      <c r="I27" s="38" t="s">
        <v>39</v>
      </c>
      <c r="J27" s="39"/>
      <c r="K27" s="38" t="s">
        <v>29</v>
      </c>
      <c r="L27" s="88" t="s">
        <v>82</v>
      </c>
      <c r="M27" s="38"/>
      <c r="N27" s="39" t="s">
        <v>30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>
      <c r="A28" s="1"/>
      <c r="B28" s="107" t="s">
        <v>31</v>
      </c>
      <c r="C28" s="108"/>
      <c r="D28" s="48"/>
      <c r="E28" s="48"/>
      <c r="F28" s="48"/>
      <c r="G28" s="48"/>
      <c r="H28" s="40"/>
      <c r="I28" s="40"/>
      <c r="J28" s="40"/>
      <c r="K28" s="48" t="s">
        <v>32</v>
      </c>
      <c r="L28" s="40"/>
      <c r="M28" s="40"/>
      <c r="N28" s="4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4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6">
      <c r="A30" s="1"/>
      <c r="B30" s="41" t="s">
        <v>33</v>
      </c>
      <c r="C30" s="40"/>
      <c r="D30" s="40"/>
      <c r="E30" s="40"/>
      <c r="F30" s="40"/>
      <c r="G30" s="40"/>
      <c r="H30" s="40"/>
      <c r="I30" s="40"/>
      <c r="J30" s="4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42"/>
      <c r="B31" s="110" t="s">
        <v>34</v>
      </c>
      <c r="C31" s="110"/>
      <c r="D31" s="110"/>
      <c r="E31" s="110"/>
      <c r="F31" s="110"/>
      <c r="G31" s="110" t="s">
        <v>35</v>
      </c>
      <c r="H31" s="110"/>
      <c r="I31" s="110"/>
      <c r="J31" s="110"/>
      <c r="K31" s="110"/>
      <c r="L31" s="110"/>
      <c r="M31" s="110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6">
      <c r="A32" s="1"/>
      <c r="B32" s="110" t="s">
        <v>36</v>
      </c>
      <c r="C32" s="110"/>
      <c r="D32" s="110"/>
      <c r="E32" s="110"/>
      <c r="F32" s="110"/>
      <c r="G32" s="110" t="s">
        <v>37</v>
      </c>
      <c r="H32" s="108"/>
      <c r="I32" s="108"/>
      <c r="J32" s="10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46"/>
      <c r="C33" s="46"/>
      <c r="D33" s="46"/>
      <c r="E33" s="46"/>
      <c r="F33" s="46"/>
      <c r="G33" s="46"/>
      <c r="H33" s="46"/>
      <c r="I33" s="46"/>
      <c r="J33" s="4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04" t="s">
        <v>38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6">
    <mergeCell ref="B22:C22"/>
    <mergeCell ref="H15:I15"/>
    <mergeCell ref="B16:N16"/>
    <mergeCell ref="B17:N17"/>
    <mergeCell ref="B20:N20"/>
    <mergeCell ref="B21:C21"/>
    <mergeCell ref="B34:N34"/>
    <mergeCell ref="B28:C28"/>
    <mergeCell ref="B29:N29"/>
    <mergeCell ref="B31:F31"/>
    <mergeCell ref="G31:M31"/>
    <mergeCell ref="B32:F32"/>
    <mergeCell ref="G32:J32"/>
    <mergeCell ref="B1:N1"/>
    <mergeCell ref="B2:N2"/>
    <mergeCell ref="B3:N3"/>
    <mergeCell ref="H7:I7"/>
    <mergeCell ref="J15:L15"/>
    <mergeCell ref="H14:I14"/>
    <mergeCell ref="H8:I8"/>
    <mergeCell ref="H10:I10"/>
    <mergeCell ref="D15:E15"/>
    <mergeCell ref="H11:I11"/>
    <mergeCell ref="H12:I12"/>
    <mergeCell ref="H13:I13"/>
    <mergeCell ref="H9:I9"/>
  </mergeCells>
  <phoneticPr fontId="12" type="noConversion"/>
  <pageMargins left="0.7" right="0.7" top="0.75" bottom="0.75" header="0.3" footer="0.3"/>
  <pageSetup paperSize="9" scale="5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FC66-1065-471C-BF37-430624244C57}">
  <sheetPr>
    <pageSetUpPr fitToPage="1"/>
  </sheetPr>
  <dimension ref="A1:Z991"/>
  <sheetViews>
    <sheetView zoomScale="50" zoomScaleNormal="50" workbookViewId="0">
      <selection activeCell="K7" sqref="K7"/>
    </sheetView>
  </sheetViews>
  <sheetFormatPr defaultColWidth="11.1796875" defaultRowHeight="15"/>
  <cols>
    <col min="1" max="1" width="1.81640625" style="68" customWidth="1"/>
    <col min="2" max="2" width="18.1796875" style="68" customWidth="1"/>
    <col min="3" max="3" width="14.81640625" style="68" customWidth="1"/>
    <col min="4" max="7" width="13.54296875" style="68" customWidth="1"/>
    <col min="8" max="9" width="15.1796875" style="68" customWidth="1"/>
    <col min="10" max="11" width="13.54296875" style="68" customWidth="1"/>
    <col min="12" max="12" width="26.1796875" style="68" bestFit="1" customWidth="1"/>
    <col min="13" max="13" width="12.453125" style="68" customWidth="1"/>
    <col min="14" max="14" width="18.1796875" style="68" customWidth="1"/>
    <col min="15" max="26" width="9" style="68" customWidth="1"/>
    <col min="27" max="16384" width="11.1796875" style="68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71"/>
      <c r="B4" s="2" t="s">
        <v>2</v>
      </c>
      <c r="C4" s="3" t="s">
        <v>54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8.600000000000001" thickBot="1">
      <c r="A5" s="1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0" t="s">
        <v>11</v>
      </c>
      <c r="I6" s="141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2" customFormat="1" ht="38.25" customHeight="1">
      <c r="B7" s="59">
        <v>46191</v>
      </c>
      <c r="C7" s="60" t="s">
        <v>79</v>
      </c>
      <c r="D7" s="61">
        <v>0.41666666666666669</v>
      </c>
      <c r="E7" s="61">
        <v>0.5</v>
      </c>
      <c r="F7" s="62">
        <v>2</v>
      </c>
      <c r="G7" s="63">
        <v>6</v>
      </c>
      <c r="H7" s="122" t="s">
        <v>80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82" customFormat="1" ht="22.2" thickBot="1">
      <c r="A8" s="2"/>
      <c r="B8" s="56"/>
      <c r="C8" s="56"/>
      <c r="D8" s="127" t="s">
        <v>17</v>
      </c>
      <c r="E8" s="136"/>
      <c r="F8" s="57">
        <f>SUM(F7:F7)</f>
        <v>2</v>
      </c>
      <c r="G8" s="58" t="s">
        <v>18</v>
      </c>
      <c r="H8" s="129"/>
      <c r="I8" s="137"/>
      <c r="J8" s="124" t="s">
        <v>19</v>
      </c>
      <c r="K8" s="138"/>
      <c r="L8" s="139"/>
      <c r="M8" s="66">
        <f>SUM(M7)</f>
        <v>0</v>
      </c>
      <c r="N8" s="6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82" customFormat="1" ht="15.6">
      <c r="A9" s="1"/>
      <c r="B9" s="130" t="s">
        <v>20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s="82" customFormat="1" ht="15.6">
      <c r="A10" s="1"/>
      <c r="B10" s="103" t="s">
        <v>21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82" customFormat="1" ht="16.2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82" customFormat="1" ht="15.6">
      <c r="A12" s="1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82" customFormat="1" ht="15.6">
      <c r="A13" s="1"/>
      <c r="B13" s="99" t="s">
        <v>22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82" customFormat="1" ht="25.5" customHeight="1" thickBot="1">
      <c r="A14" s="1"/>
      <c r="B14" s="105" t="s">
        <v>23</v>
      </c>
      <c r="C14" s="150"/>
      <c r="D14" s="22"/>
      <c r="E14" s="22"/>
      <c r="F14" s="22">
        <f>F8</f>
        <v>2</v>
      </c>
      <c r="G14" s="23" t="s">
        <v>18</v>
      </c>
      <c r="H14" s="24" t="s">
        <v>52</v>
      </c>
      <c r="I14" s="25" t="s">
        <v>24</v>
      </c>
      <c r="J14" s="23">
        <f>F14*75</f>
        <v>150</v>
      </c>
      <c r="K14" s="26"/>
      <c r="L14" s="24"/>
      <c r="M14" s="27"/>
      <c r="N14" s="2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thickBot="1">
      <c r="A15" s="1"/>
      <c r="B15" s="105" t="s">
        <v>25</v>
      </c>
      <c r="C15" s="106"/>
      <c r="D15" s="24"/>
      <c r="E15" s="24"/>
      <c r="F15" s="24"/>
      <c r="G15" s="24"/>
      <c r="H15" s="24" t="s">
        <v>26</v>
      </c>
      <c r="I15" s="29" t="s">
        <v>24</v>
      </c>
      <c r="J15" s="45">
        <f>M8</f>
        <v>0</v>
      </c>
      <c r="K15" s="30"/>
      <c r="L15" s="24"/>
      <c r="M15" s="31"/>
      <c r="N15" s="3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 thickBot="1">
      <c r="A16" s="1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1"/>
      <c r="B18" s="36" t="s">
        <v>27</v>
      </c>
      <c r="C18" s="36"/>
      <c r="D18" s="36"/>
      <c r="E18" s="36"/>
      <c r="F18" s="36"/>
      <c r="G18" s="36"/>
      <c r="H18" s="36"/>
      <c r="I18" s="36"/>
      <c r="J18" s="36"/>
      <c r="K18" s="36" t="s">
        <v>28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7.5" customHeight="1" thickBot="1">
      <c r="A19" s="1"/>
      <c r="B19" s="37"/>
      <c r="C19" s="37"/>
      <c r="D19" s="37"/>
      <c r="E19" s="37"/>
      <c r="F19" s="37"/>
      <c r="G19" s="37"/>
      <c r="H19" s="37"/>
      <c r="I19" s="37"/>
      <c r="J19" s="1"/>
      <c r="K19" s="37"/>
      <c r="L19" s="37"/>
      <c r="M19" s="37"/>
      <c r="N19" s="3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>
      <c r="A20" s="36"/>
      <c r="B20" s="38" t="s">
        <v>40</v>
      </c>
      <c r="D20" s="43" t="s">
        <v>53</v>
      </c>
      <c r="E20" s="44"/>
      <c r="I20" s="38" t="s">
        <v>39</v>
      </c>
      <c r="J20" s="39"/>
      <c r="K20" s="38" t="s">
        <v>29</v>
      </c>
      <c r="L20" s="88" t="s">
        <v>82</v>
      </c>
      <c r="M20" s="38"/>
      <c r="N20" s="39" t="s">
        <v>30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>
      <c r="A21" s="1"/>
      <c r="B21" s="107" t="s">
        <v>31</v>
      </c>
      <c r="C21" s="108"/>
      <c r="D21" s="70"/>
      <c r="E21" s="70"/>
      <c r="F21" s="70"/>
      <c r="G21" s="70"/>
      <c r="H21" s="40"/>
      <c r="I21" s="40"/>
      <c r="J21" s="40"/>
      <c r="K21" s="70" t="s">
        <v>32</v>
      </c>
      <c r="L21" s="40"/>
      <c r="M21" s="40"/>
      <c r="N21" s="4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71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6">
      <c r="A23" s="1"/>
      <c r="B23" s="41" t="s">
        <v>33</v>
      </c>
      <c r="C23" s="40"/>
      <c r="D23" s="40"/>
      <c r="E23" s="40"/>
      <c r="F23" s="40"/>
      <c r="G23" s="40"/>
      <c r="H23" s="40"/>
      <c r="I23" s="40"/>
      <c r="J23" s="4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>
      <c r="A24" s="42"/>
      <c r="B24" s="110" t="s">
        <v>34</v>
      </c>
      <c r="C24" s="108"/>
      <c r="D24" s="108"/>
      <c r="E24" s="108"/>
      <c r="F24" s="108"/>
      <c r="G24" s="110" t="s">
        <v>35</v>
      </c>
      <c r="H24" s="110"/>
      <c r="I24" s="110"/>
      <c r="J24" s="110"/>
      <c r="K24" s="110"/>
      <c r="L24" s="110"/>
      <c r="M24" s="110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6">
      <c r="A25" s="1"/>
      <c r="B25" s="110" t="s">
        <v>36</v>
      </c>
      <c r="C25" s="108"/>
      <c r="D25" s="108"/>
      <c r="E25" s="108"/>
      <c r="F25" s="108"/>
      <c r="G25" s="110" t="s">
        <v>37</v>
      </c>
      <c r="H25" s="108"/>
      <c r="I25" s="108"/>
      <c r="J25" s="10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>
      <c r="A26" s="1"/>
      <c r="B26" s="71"/>
      <c r="C26" s="71"/>
      <c r="D26" s="71"/>
      <c r="E26" s="71"/>
      <c r="F26" s="71"/>
      <c r="G26" s="71"/>
      <c r="H26" s="71"/>
      <c r="I26" s="71"/>
      <c r="J26" s="7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1"/>
      <c r="B27" s="104" t="s">
        <v>38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sortState ref="B7:G7">
    <sortCondition ref="B7"/>
  </sortState>
  <mergeCells count="20">
    <mergeCell ref="D8:E8"/>
    <mergeCell ref="H8:I8"/>
    <mergeCell ref="J8:L8"/>
    <mergeCell ref="B9:N9"/>
    <mergeCell ref="B27:N27"/>
    <mergeCell ref="B13:N13"/>
    <mergeCell ref="B25:F25"/>
    <mergeCell ref="G25:J25"/>
    <mergeCell ref="B14:C14"/>
    <mergeCell ref="B15:C15"/>
    <mergeCell ref="B21:C21"/>
    <mergeCell ref="B22:N22"/>
    <mergeCell ref="B24:F24"/>
    <mergeCell ref="G24:M24"/>
    <mergeCell ref="B10:N10"/>
    <mergeCell ref="B1:N1"/>
    <mergeCell ref="B2:N2"/>
    <mergeCell ref="B3:N3"/>
    <mergeCell ref="H6:I6"/>
    <mergeCell ref="H7:I7"/>
  </mergeCells>
  <phoneticPr fontId="12" type="noConversion"/>
  <pageMargins left="0.7" right="0.7" top="0.75" bottom="0.75" header="0.3" footer="0.3"/>
  <pageSetup paperSize="9" scale="5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C579-4C6E-4108-B0A4-729AFACE522A}">
  <sheetPr>
    <pageSetUpPr fitToPage="1"/>
  </sheetPr>
  <dimension ref="A1:Z996"/>
  <sheetViews>
    <sheetView zoomScale="60" zoomScaleNormal="60" workbookViewId="0">
      <selection activeCell="B14" sqref="B14:N14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41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.600000000000001" thickBot="1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0" t="s">
        <v>11</v>
      </c>
      <c r="I6" s="141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46175</v>
      </c>
      <c r="C7" s="60" t="s">
        <v>79</v>
      </c>
      <c r="D7" s="61">
        <v>0.54166666666666663</v>
      </c>
      <c r="E7" s="61">
        <v>0.58333333333333337</v>
      </c>
      <c r="F7" s="62">
        <v>1</v>
      </c>
      <c r="G7" s="63">
        <v>5</v>
      </c>
      <c r="H7" s="151" t="s">
        <v>83</v>
      </c>
      <c r="I7" s="151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6" customFormat="1" ht="38.25" customHeight="1">
      <c r="B8" s="59">
        <v>46182</v>
      </c>
      <c r="C8" s="60" t="s">
        <v>79</v>
      </c>
      <c r="D8" s="61">
        <v>0.54166666666666663</v>
      </c>
      <c r="E8" s="61">
        <v>0.66666666666666663</v>
      </c>
      <c r="F8" s="62">
        <v>3</v>
      </c>
      <c r="G8" s="63">
        <v>5</v>
      </c>
      <c r="H8" s="151" t="s">
        <v>94</v>
      </c>
      <c r="I8" s="151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6" customFormat="1" ht="38.25" customHeight="1">
      <c r="B9" s="59">
        <v>46182</v>
      </c>
      <c r="C9" s="60" t="s">
        <v>79</v>
      </c>
      <c r="D9" s="61">
        <v>0.66666666666666663</v>
      </c>
      <c r="E9" s="61">
        <v>0.70833333333333337</v>
      </c>
      <c r="F9" s="62">
        <v>1</v>
      </c>
      <c r="G9" s="63">
        <v>5</v>
      </c>
      <c r="H9" s="151" t="s">
        <v>83</v>
      </c>
      <c r="I9" s="151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96" customFormat="1" ht="38.25" customHeight="1">
      <c r="B10" s="59">
        <v>46189</v>
      </c>
      <c r="C10" s="60" t="s">
        <v>79</v>
      </c>
      <c r="D10" s="61">
        <v>0.54166666666666663</v>
      </c>
      <c r="E10" s="61">
        <v>0.66666666666666663</v>
      </c>
      <c r="F10" s="62">
        <v>3</v>
      </c>
      <c r="G10" s="63">
        <v>5</v>
      </c>
      <c r="H10" s="151" t="s">
        <v>94</v>
      </c>
      <c r="I10" s="151"/>
      <c r="J10" s="63"/>
      <c r="K10" s="63"/>
      <c r="L10" s="63"/>
      <c r="M10" s="63"/>
      <c r="N10" s="63"/>
      <c r="O10" s="1"/>
      <c r="P10" s="1"/>
      <c r="Q10" s="1"/>
      <c r="R10" s="1"/>
      <c r="S10" s="1"/>
      <c r="T10" s="1"/>
      <c r="U10" s="1"/>
      <c r="V10" s="1"/>
      <c r="W10" s="1"/>
    </row>
    <row r="11" spans="1:26" s="96" customFormat="1" ht="38.25" customHeight="1">
      <c r="B11" s="59">
        <v>46189</v>
      </c>
      <c r="C11" s="60" t="s">
        <v>79</v>
      </c>
      <c r="D11" s="61">
        <v>0.66666666666666663</v>
      </c>
      <c r="E11" s="61">
        <v>0.70833333333333337</v>
      </c>
      <c r="F11" s="62">
        <v>1</v>
      </c>
      <c r="G11" s="63">
        <v>5</v>
      </c>
      <c r="H11" s="151" t="s">
        <v>83</v>
      </c>
      <c r="I11" s="151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  <c r="W11" s="1"/>
    </row>
    <row r="12" spans="1:26" s="94" customFormat="1" ht="38.25" customHeight="1">
      <c r="B12" s="59">
        <v>46191</v>
      </c>
      <c r="C12" s="60" t="s">
        <v>79</v>
      </c>
      <c r="D12" s="61">
        <v>0.41666666666666669</v>
      </c>
      <c r="E12" s="61">
        <v>0.5</v>
      </c>
      <c r="F12" s="62">
        <v>2</v>
      </c>
      <c r="G12" s="63">
        <v>6</v>
      </c>
      <c r="H12" s="151" t="s">
        <v>80</v>
      </c>
      <c r="I12" s="151"/>
      <c r="J12" s="63"/>
      <c r="K12" s="63"/>
      <c r="L12" s="63"/>
      <c r="M12" s="63"/>
      <c r="N12" s="63"/>
      <c r="O12" s="1"/>
      <c r="P12" s="1"/>
      <c r="Q12" s="1"/>
      <c r="R12" s="1"/>
      <c r="S12" s="1"/>
      <c r="T12" s="1"/>
      <c r="U12" s="1"/>
      <c r="V12" s="1"/>
      <c r="W12" s="1"/>
    </row>
    <row r="13" spans="1:26" ht="22.2" thickBot="1">
      <c r="A13" s="2"/>
      <c r="B13" s="56"/>
      <c r="C13" s="56"/>
      <c r="D13" s="127" t="s">
        <v>17</v>
      </c>
      <c r="E13" s="128"/>
      <c r="F13" s="57">
        <f>SUM(F7:F12)</f>
        <v>11</v>
      </c>
      <c r="G13" s="58" t="s">
        <v>18</v>
      </c>
      <c r="H13" s="129"/>
      <c r="I13" s="126"/>
      <c r="J13" s="124" t="s">
        <v>19</v>
      </c>
      <c r="K13" s="125"/>
      <c r="L13" s="126"/>
      <c r="M13" s="66">
        <f>SUM(M7:M12)</f>
        <v>0</v>
      </c>
      <c r="N13" s="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>
      <c r="A14" s="1"/>
      <c r="B14" s="130" t="s">
        <v>76</v>
      </c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>
      <c r="A15" s="1"/>
      <c r="B15" s="103" t="s">
        <v>55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 thickBo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1"/>
      <c r="B18" s="99" t="s">
        <v>22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thickBot="1">
      <c r="A19" s="1"/>
      <c r="B19" s="105" t="s">
        <v>23</v>
      </c>
      <c r="C19" s="106"/>
      <c r="D19" s="22"/>
      <c r="E19" s="22"/>
      <c r="F19" s="22">
        <f>F13</f>
        <v>11</v>
      </c>
      <c r="G19" s="23" t="s">
        <v>18</v>
      </c>
      <c r="H19" s="24" t="s">
        <v>52</v>
      </c>
      <c r="I19" s="25" t="s">
        <v>24</v>
      </c>
      <c r="J19" s="23">
        <f>F19*75</f>
        <v>825</v>
      </c>
      <c r="K19" s="26"/>
      <c r="L19" s="24"/>
      <c r="M19" s="27"/>
      <c r="N19" s="2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thickBot="1">
      <c r="A20" s="1"/>
      <c r="B20" s="105" t="s">
        <v>25</v>
      </c>
      <c r="C20" s="106"/>
      <c r="D20" s="24"/>
      <c r="E20" s="24"/>
      <c r="F20" s="24"/>
      <c r="G20" s="24"/>
      <c r="H20" s="24" t="s">
        <v>26</v>
      </c>
      <c r="I20" s="29" t="s">
        <v>24</v>
      </c>
      <c r="J20" s="45">
        <f>M13</f>
        <v>0</v>
      </c>
      <c r="K20" s="30"/>
      <c r="L20" s="24"/>
      <c r="M20" s="31"/>
      <c r="N20" s="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 thickBot="1">
      <c r="A21" s="1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>
      <c r="A23" s="1"/>
      <c r="B23" s="36" t="s">
        <v>27</v>
      </c>
      <c r="C23" s="36"/>
      <c r="D23" s="36"/>
      <c r="E23" s="36"/>
      <c r="F23" s="36"/>
      <c r="G23" s="36"/>
      <c r="H23" s="36"/>
      <c r="I23" s="36"/>
      <c r="J23" s="36"/>
      <c r="K23" s="36" t="s">
        <v>28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7.5" customHeight="1" thickBot="1">
      <c r="A24" s="1"/>
      <c r="B24" s="37"/>
      <c r="C24" s="37"/>
      <c r="D24" s="37"/>
      <c r="E24" s="37"/>
      <c r="F24" s="37"/>
      <c r="G24" s="37"/>
      <c r="H24" s="37"/>
      <c r="I24" s="37"/>
      <c r="J24" s="1"/>
      <c r="K24" s="37"/>
      <c r="L24" s="37"/>
      <c r="M24" s="37"/>
      <c r="N24" s="3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>
      <c r="A25" s="36"/>
      <c r="B25" s="38" t="s">
        <v>40</v>
      </c>
      <c r="D25" s="43" t="s">
        <v>41</v>
      </c>
      <c r="E25" s="44"/>
      <c r="I25" s="38" t="s">
        <v>39</v>
      </c>
      <c r="J25" s="39"/>
      <c r="K25" s="38" t="s">
        <v>29</v>
      </c>
      <c r="L25" s="88" t="s">
        <v>82</v>
      </c>
      <c r="M25" s="38"/>
      <c r="N25" s="39" t="s">
        <v>30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>
      <c r="A26" s="1"/>
      <c r="B26" s="107" t="s">
        <v>31</v>
      </c>
      <c r="C26" s="108"/>
      <c r="D26" s="48"/>
      <c r="E26" s="48"/>
      <c r="F26" s="48"/>
      <c r="G26" s="48"/>
      <c r="H26" s="40"/>
      <c r="I26" s="40"/>
      <c r="J26" s="40"/>
      <c r="K26" s="48" t="s">
        <v>32</v>
      </c>
      <c r="L26" s="40"/>
      <c r="M26" s="40"/>
      <c r="N26" s="4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46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6">
      <c r="A28" s="1"/>
      <c r="B28" s="41" t="s">
        <v>33</v>
      </c>
      <c r="C28" s="40"/>
      <c r="D28" s="40"/>
      <c r="E28" s="40"/>
      <c r="F28" s="40"/>
      <c r="G28" s="40"/>
      <c r="H28" s="40"/>
      <c r="I28" s="40"/>
      <c r="J28" s="4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42"/>
      <c r="B29" s="110" t="s">
        <v>34</v>
      </c>
      <c r="C29" s="108"/>
      <c r="D29" s="108"/>
      <c r="E29" s="108"/>
      <c r="F29" s="108"/>
      <c r="G29" s="110" t="s">
        <v>35</v>
      </c>
      <c r="H29" s="110"/>
      <c r="I29" s="110"/>
      <c r="J29" s="110"/>
      <c r="K29" s="110"/>
      <c r="L29" s="110"/>
      <c r="M29" s="110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6">
      <c r="A30" s="1"/>
      <c r="B30" s="110" t="s">
        <v>36</v>
      </c>
      <c r="C30" s="108"/>
      <c r="D30" s="108"/>
      <c r="E30" s="108"/>
      <c r="F30" s="108"/>
      <c r="G30" s="110" t="s">
        <v>37</v>
      </c>
      <c r="H30" s="108"/>
      <c r="I30" s="108"/>
      <c r="J30" s="10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46"/>
      <c r="C31" s="46"/>
      <c r="D31" s="46"/>
      <c r="E31" s="46"/>
      <c r="F31" s="46"/>
      <c r="G31" s="46"/>
      <c r="H31" s="46"/>
      <c r="I31" s="46"/>
      <c r="J31" s="4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04" t="s">
        <v>38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5">
    <mergeCell ref="B20:C20"/>
    <mergeCell ref="D13:E13"/>
    <mergeCell ref="H13:I13"/>
    <mergeCell ref="J13:L13"/>
    <mergeCell ref="B14:N14"/>
    <mergeCell ref="B15:N15"/>
    <mergeCell ref="B18:N18"/>
    <mergeCell ref="B19:C19"/>
    <mergeCell ref="B32:N32"/>
    <mergeCell ref="B26:C26"/>
    <mergeCell ref="B27:N27"/>
    <mergeCell ref="B29:F29"/>
    <mergeCell ref="G29:M29"/>
    <mergeCell ref="B30:F30"/>
    <mergeCell ref="G30:J30"/>
    <mergeCell ref="H12:I12"/>
    <mergeCell ref="H8:I8"/>
    <mergeCell ref="B1:N1"/>
    <mergeCell ref="B2:N2"/>
    <mergeCell ref="B3:N3"/>
    <mergeCell ref="H6:I6"/>
    <mergeCell ref="H7:I7"/>
    <mergeCell ref="H9:I9"/>
    <mergeCell ref="H10:I10"/>
    <mergeCell ref="H11:I11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4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4A97-A6EC-4F6C-B158-604B5DF706F4}">
  <sheetPr>
    <pageSetUpPr fitToPage="1"/>
  </sheetPr>
  <dimension ref="A1:Z992"/>
  <sheetViews>
    <sheetView topLeftCell="A4" zoomScale="60" zoomScaleNormal="60" workbookViewId="0">
      <selection activeCell="B10" sqref="B10:N10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50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.600000000000001" thickBot="1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2" t="s">
        <v>11</v>
      </c>
      <c r="I6" s="143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46189</v>
      </c>
      <c r="C7" s="60" t="s">
        <v>79</v>
      </c>
      <c r="D7" s="61">
        <v>0.58333333333333337</v>
      </c>
      <c r="E7" s="61">
        <v>0.66666666666666663</v>
      </c>
      <c r="F7" s="62">
        <v>2</v>
      </c>
      <c r="G7" s="63">
        <v>5</v>
      </c>
      <c r="H7" s="122" t="s">
        <v>96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2" customFormat="1" ht="38.25" customHeight="1">
      <c r="B8" s="59">
        <v>46191</v>
      </c>
      <c r="C8" s="60" t="s">
        <v>79</v>
      </c>
      <c r="D8" s="61">
        <v>0.41666666666666669</v>
      </c>
      <c r="E8" s="61">
        <v>0.5</v>
      </c>
      <c r="F8" s="62">
        <v>2</v>
      </c>
      <c r="G8" s="63">
        <v>6</v>
      </c>
      <c r="H8" s="122" t="s">
        <v>80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87" customFormat="1" ht="21" customHeight="1" thickBot="1">
      <c r="A9" s="2"/>
      <c r="B9" s="56"/>
      <c r="C9" s="56"/>
      <c r="D9" s="127" t="s">
        <v>17</v>
      </c>
      <c r="E9" s="136"/>
      <c r="F9" s="57">
        <f>SUM(F7:F8)</f>
        <v>4</v>
      </c>
      <c r="G9" s="58" t="s">
        <v>18</v>
      </c>
      <c r="H9" s="129"/>
      <c r="I9" s="137"/>
      <c r="J9" s="124" t="s">
        <v>19</v>
      </c>
      <c r="K9" s="138"/>
      <c r="L9" s="139"/>
      <c r="M9" s="66">
        <f>SUM(M8:M8)</f>
        <v>0</v>
      </c>
      <c r="N9" s="6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82" customFormat="1" ht="15.6">
      <c r="A10" s="1"/>
      <c r="B10" s="130" t="s">
        <v>20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82" customFormat="1" ht="15.6">
      <c r="A11" s="1"/>
      <c r="B11" s="103" t="s">
        <v>55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82" customFormat="1" ht="16.2" thickBot="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82" customFormat="1" ht="15.6">
      <c r="A13" s="1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>
      <c r="A14" s="1"/>
      <c r="B14" s="99" t="s">
        <v>22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thickBot="1">
      <c r="A15" s="1"/>
      <c r="B15" s="105" t="s">
        <v>23</v>
      </c>
      <c r="C15" s="106"/>
      <c r="D15" s="22"/>
      <c r="E15" s="22"/>
      <c r="F15" s="22">
        <f>F9</f>
        <v>4</v>
      </c>
      <c r="G15" s="23" t="s">
        <v>18</v>
      </c>
      <c r="H15" s="24" t="s">
        <v>52</v>
      </c>
      <c r="I15" s="25" t="s">
        <v>24</v>
      </c>
      <c r="J15" s="23">
        <f>F15*75</f>
        <v>300</v>
      </c>
      <c r="K15" s="26"/>
      <c r="L15" s="24"/>
      <c r="M15" s="27"/>
      <c r="N15" s="2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thickBot="1">
      <c r="A16" s="1"/>
      <c r="B16" s="105" t="s">
        <v>25</v>
      </c>
      <c r="C16" s="106"/>
      <c r="D16" s="24"/>
      <c r="E16" s="24"/>
      <c r="F16" s="24"/>
      <c r="G16" s="24"/>
      <c r="H16" s="24" t="s">
        <v>26</v>
      </c>
      <c r="I16" s="29" t="s">
        <v>24</v>
      </c>
      <c r="J16" s="45">
        <f>M9</f>
        <v>0</v>
      </c>
      <c r="K16" s="30"/>
      <c r="L16" s="24"/>
      <c r="M16" s="31"/>
      <c r="N16" s="3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 thickBot="1">
      <c r="A17" s="1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>
      <c r="A19" s="1"/>
      <c r="B19" s="36" t="s">
        <v>27</v>
      </c>
      <c r="C19" s="36"/>
      <c r="D19" s="36"/>
      <c r="E19" s="36"/>
      <c r="F19" s="36"/>
      <c r="G19" s="36"/>
      <c r="H19" s="36"/>
      <c r="I19" s="36"/>
      <c r="J19" s="36"/>
      <c r="K19" s="36" t="s">
        <v>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7.5" customHeight="1" thickBot="1">
      <c r="A20" s="1"/>
      <c r="B20" s="37"/>
      <c r="C20" s="37"/>
      <c r="D20" s="37"/>
      <c r="E20" s="37"/>
      <c r="F20" s="37"/>
      <c r="G20" s="37"/>
      <c r="H20" s="37"/>
      <c r="I20" s="37"/>
      <c r="J20" s="1"/>
      <c r="K20" s="37"/>
      <c r="L20" s="37"/>
      <c r="M20" s="37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>
      <c r="A21" s="36"/>
      <c r="B21" s="38" t="s">
        <v>40</v>
      </c>
      <c r="D21" s="43" t="s">
        <v>50</v>
      </c>
      <c r="E21" s="44"/>
      <c r="I21" s="38" t="s">
        <v>39</v>
      </c>
      <c r="J21" s="39"/>
      <c r="K21" s="38" t="s">
        <v>29</v>
      </c>
      <c r="L21" s="88" t="s">
        <v>82</v>
      </c>
      <c r="M21" s="38"/>
      <c r="N21" s="39" t="s">
        <v>30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>
      <c r="A22" s="1"/>
      <c r="B22" s="107" t="s">
        <v>31</v>
      </c>
      <c r="C22" s="108"/>
      <c r="D22" s="48"/>
      <c r="E22" s="48"/>
      <c r="F22" s="48"/>
      <c r="G22" s="48"/>
      <c r="H22" s="40"/>
      <c r="I22" s="40"/>
      <c r="J22" s="40"/>
      <c r="K22" s="48" t="s">
        <v>32</v>
      </c>
      <c r="L22" s="40"/>
      <c r="M22" s="40"/>
      <c r="N22" s="4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46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6">
      <c r="A24" s="1"/>
      <c r="B24" s="41" t="s">
        <v>33</v>
      </c>
      <c r="C24" s="40"/>
      <c r="D24" s="40"/>
      <c r="E24" s="40"/>
      <c r="F24" s="40"/>
      <c r="G24" s="40"/>
      <c r="H24" s="40"/>
      <c r="I24" s="40"/>
      <c r="J24" s="4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>
      <c r="A25" s="42"/>
      <c r="B25" s="110" t="s">
        <v>34</v>
      </c>
      <c r="C25" s="108"/>
      <c r="D25" s="108"/>
      <c r="E25" s="108"/>
      <c r="F25" s="108"/>
      <c r="G25" s="110" t="s">
        <v>35</v>
      </c>
      <c r="H25" s="110"/>
      <c r="I25" s="110"/>
      <c r="J25" s="110"/>
      <c r="K25" s="110"/>
      <c r="L25" s="110"/>
      <c r="M25" s="110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6">
      <c r="A26" s="1"/>
      <c r="B26" s="110" t="s">
        <v>36</v>
      </c>
      <c r="C26" s="108"/>
      <c r="D26" s="108"/>
      <c r="E26" s="108"/>
      <c r="F26" s="108"/>
      <c r="G26" s="110" t="s">
        <v>37</v>
      </c>
      <c r="H26" s="108"/>
      <c r="I26" s="108"/>
      <c r="J26" s="10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1"/>
      <c r="B27" s="46"/>
      <c r="C27" s="46"/>
      <c r="D27" s="46"/>
      <c r="E27" s="46"/>
      <c r="F27" s="46"/>
      <c r="G27" s="46"/>
      <c r="H27" s="46"/>
      <c r="I27" s="46"/>
      <c r="J27" s="4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1"/>
      <c r="B28" s="104" t="s">
        <v>38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21">
    <mergeCell ref="B16:C16"/>
    <mergeCell ref="B11:N11"/>
    <mergeCell ref="B14:N14"/>
    <mergeCell ref="B10:N10"/>
    <mergeCell ref="B15:C15"/>
    <mergeCell ref="B28:N28"/>
    <mergeCell ref="B22:C22"/>
    <mergeCell ref="B23:N23"/>
    <mergeCell ref="B25:F25"/>
    <mergeCell ref="G25:M25"/>
    <mergeCell ref="B26:F26"/>
    <mergeCell ref="G26:J26"/>
    <mergeCell ref="H9:I9"/>
    <mergeCell ref="B1:N1"/>
    <mergeCell ref="B2:N2"/>
    <mergeCell ref="B3:N3"/>
    <mergeCell ref="H6:I6"/>
    <mergeCell ref="H8:I8"/>
    <mergeCell ref="J9:L9"/>
    <mergeCell ref="D9:E9"/>
    <mergeCell ref="H7:I7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5FA4-925E-4A0B-89E4-8F168D1D187C}">
  <sheetPr>
    <pageSetUpPr fitToPage="1"/>
  </sheetPr>
  <dimension ref="A1:Z995"/>
  <sheetViews>
    <sheetView zoomScale="70" zoomScaleNormal="70" workbookViewId="0">
      <selection activeCell="B14" sqref="B14:N14"/>
    </sheetView>
  </sheetViews>
  <sheetFormatPr defaultColWidth="11.1796875" defaultRowHeight="15"/>
  <cols>
    <col min="1" max="1" width="1.81640625" style="47" customWidth="1"/>
    <col min="2" max="2" width="18.1796875" style="47" customWidth="1"/>
    <col min="3" max="3" width="14.81640625" style="47" customWidth="1"/>
    <col min="4" max="7" width="13.54296875" style="47" customWidth="1"/>
    <col min="8" max="9" width="15.1796875" style="47" customWidth="1"/>
    <col min="10" max="11" width="13.54296875" style="47" customWidth="1"/>
    <col min="12" max="12" width="26.1796875" style="47" bestFit="1" customWidth="1"/>
    <col min="13" max="13" width="12.453125" style="47" customWidth="1"/>
    <col min="14" max="14" width="18.1796875" style="47" customWidth="1"/>
    <col min="15" max="26" width="9" style="47" customWidth="1"/>
    <col min="27" max="16384" width="11.1796875" style="47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46"/>
      <c r="B4" s="2" t="s">
        <v>2</v>
      </c>
      <c r="C4" s="3" t="s">
        <v>51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8.600000000000001" thickBot="1">
      <c r="A5" s="1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0" t="s">
        <v>11</v>
      </c>
      <c r="I6" s="141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46175</v>
      </c>
      <c r="C7" s="60" t="s">
        <v>79</v>
      </c>
      <c r="D7" s="61">
        <v>0.54166666666666663</v>
      </c>
      <c r="E7" s="61">
        <v>0.58333333333333337</v>
      </c>
      <c r="F7" s="62">
        <v>1</v>
      </c>
      <c r="G7" s="63">
        <v>5</v>
      </c>
      <c r="H7" s="122" t="s">
        <v>83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6" customFormat="1" ht="38.25" customHeight="1">
      <c r="B8" s="59">
        <v>46182</v>
      </c>
      <c r="C8" s="60" t="s">
        <v>79</v>
      </c>
      <c r="D8" s="61">
        <v>0.54166666666666663</v>
      </c>
      <c r="E8" s="61">
        <v>0.66666666666666663</v>
      </c>
      <c r="F8" s="62">
        <v>3</v>
      </c>
      <c r="G8" s="63">
        <v>5</v>
      </c>
      <c r="H8" s="122" t="s">
        <v>94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6" customFormat="1" ht="38.25" customHeight="1">
      <c r="B9" s="59">
        <v>46182</v>
      </c>
      <c r="C9" s="60" t="s">
        <v>79</v>
      </c>
      <c r="D9" s="61">
        <v>0.66666666666666663</v>
      </c>
      <c r="E9" s="61">
        <v>0.70833333333333337</v>
      </c>
      <c r="F9" s="62">
        <v>1</v>
      </c>
      <c r="G9" s="63">
        <v>5</v>
      </c>
      <c r="H9" s="122" t="s">
        <v>83</v>
      </c>
      <c r="I9" s="123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96" customFormat="1" ht="38.25" customHeight="1">
      <c r="B10" s="59">
        <v>46189</v>
      </c>
      <c r="C10" s="60" t="s">
        <v>79</v>
      </c>
      <c r="D10" s="61">
        <v>0.54166666666666663</v>
      </c>
      <c r="E10" s="61">
        <v>0.66666666666666663</v>
      </c>
      <c r="F10" s="62">
        <v>3</v>
      </c>
      <c r="G10" s="63">
        <v>5</v>
      </c>
      <c r="H10" s="122" t="s">
        <v>94</v>
      </c>
      <c r="I10" s="123"/>
      <c r="J10" s="63"/>
      <c r="K10" s="63"/>
      <c r="L10" s="63"/>
      <c r="M10" s="63"/>
      <c r="N10" s="63"/>
      <c r="O10" s="1"/>
      <c r="P10" s="1"/>
      <c r="Q10" s="1"/>
      <c r="R10" s="1"/>
      <c r="S10" s="1"/>
      <c r="T10" s="1"/>
      <c r="U10" s="1"/>
      <c r="V10" s="1"/>
      <c r="W10" s="1"/>
    </row>
    <row r="11" spans="1:26" s="96" customFormat="1" ht="38.25" customHeight="1">
      <c r="B11" s="59">
        <v>46189</v>
      </c>
      <c r="C11" s="60" t="s">
        <v>79</v>
      </c>
      <c r="D11" s="61">
        <v>0.66666666666666663</v>
      </c>
      <c r="E11" s="61">
        <v>0.70833333333333337</v>
      </c>
      <c r="F11" s="62">
        <v>1</v>
      </c>
      <c r="G11" s="63">
        <v>5</v>
      </c>
      <c r="H11" s="122" t="s">
        <v>83</v>
      </c>
      <c r="I11" s="12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  <c r="W11" s="1"/>
    </row>
    <row r="12" spans="1:26" s="92" customFormat="1" ht="38.25" customHeight="1">
      <c r="B12" s="59">
        <v>46191</v>
      </c>
      <c r="C12" s="60" t="s">
        <v>79</v>
      </c>
      <c r="D12" s="61">
        <v>0.41666666666666669</v>
      </c>
      <c r="E12" s="61">
        <v>0.5</v>
      </c>
      <c r="F12" s="62">
        <v>2</v>
      </c>
      <c r="G12" s="63">
        <v>6</v>
      </c>
      <c r="H12" s="122" t="s">
        <v>80</v>
      </c>
      <c r="I12" s="123"/>
      <c r="J12" s="63"/>
      <c r="K12" s="63"/>
      <c r="L12" s="63"/>
      <c r="M12" s="63"/>
      <c r="N12" s="63"/>
      <c r="O12" s="1"/>
      <c r="P12" s="1"/>
      <c r="Q12" s="1"/>
      <c r="R12" s="1"/>
      <c r="S12" s="1"/>
      <c r="T12" s="1"/>
      <c r="U12" s="1"/>
      <c r="V12" s="1"/>
      <c r="W12" s="1"/>
    </row>
    <row r="13" spans="1:26" s="72" customFormat="1" ht="22.2" thickBot="1">
      <c r="A13" s="2"/>
      <c r="B13" s="56"/>
      <c r="C13" s="56"/>
      <c r="D13" s="127" t="s">
        <v>17</v>
      </c>
      <c r="E13" s="136"/>
      <c r="F13" s="73">
        <f>SUM(F7:F12)</f>
        <v>11</v>
      </c>
      <c r="G13" s="58" t="s">
        <v>18</v>
      </c>
      <c r="H13" s="129"/>
      <c r="I13" s="137"/>
      <c r="J13" s="124" t="s">
        <v>19</v>
      </c>
      <c r="K13" s="138"/>
      <c r="L13" s="139"/>
      <c r="M13" s="66">
        <f>SUM(M12:M12)</f>
        <v>0</v>
      </c>
      <c r="N13" s="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64" customFormat="1" ht="15.6">
      <c r="A14" s="1"/>
      <c r="B14" s="103" t="s">
        <v>21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64" customFormat="1" ht="16.2" thickBo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64" customFormat="1" ht="15.6">
      <c r="A16" s="1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99" t="s">
        <v>22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thickBot="1">
      <c r="A18" s="1"/>
      <c r="B18" s="105" t="s">
        <v>23</v>
      </c>
      <c r="C18" s="106"/>
      <c r="D18" s="22"/>
      <c r="E18" s="22"/>
      <c r="F18" s="22">
        <f>F13</f>
        <v>11</v>
      </c>
      <c r="G18" s="23" t="s">
        <v>18</v>
      </c>
      <c r="H18" s="24" t="s">
        <v>52</v>
      </c>
      <c r="I18" s="25" t="s">
        <v>24</v>
      </c>
      <c r="J18" s="23">
        <f>F18*75</f>
        <v>825</v>
      </c>
      <c r="K18" s="26"/>
      <c r="L18" s="24"/>
      <c r="M18" s="27"/>
      <c r="N18" s="2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thickBot="1">
      <c r="A19" s="1"/>
      <c r="B19" s="105" t="s">
        <v>25</v>
      </c>
      <c r="C19" s="106"/>
      <c r="D19" s="24"/>
      <c r="E19" s="24"/>
      <c r="F19" s="24"/>
      <c r="G19" s="24"/>
      <c r="H19" s="24" t="s">
        <v>26</v>
      </c>
      <c r="I19" s="29" t="s">
        <v>24</v>
      </c>
      <c r="J19" s="76">
        <f>M13</f>
        <v>0</v>
      </c>
      <c r="K19" s="30"/>
      <c r="L19" s="24"/>
      <c r="M19" s="31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 thickBot="1">
      <c r="A20" s="1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>
      <c r="A22" s="1"/>
      <c r="B22" s="36" t="s">
        <v>27</v>
      </c>
      <c r="C22" s="36"/>
      <c r="D22" s="36"/>
      <c r="E22" s="36"/>
      <c r="F22" s="36"/>
      <c r="G22" s="36"/>
      <c r="H22" s="36"/>
      <c r="I22" s="36"/>
      <c r="J22" s="36"/>
      <c r="K22" s="36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thickBot="1">
      <c r="A23" s="1"/>
      <c r="B23" s="37"/>
      <c r="C23" s="37"/>
      <c r="D23" s="37"/>
      <c r="E23" s="37"/>
      <c r="F23" s="37"/>
      <c r="G23" s="37"/>
      <c r="H23" s="37"/>
      <c r="I23" s="37"/>
      <c r="J23" s="1"/>
      <c r="K23" s="37"/>
      <c r="L23" s="37"/>
      <c r="M23" s="37"/>
      <c r="N23" s="3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A24" s="36"/>
      <c r="B24" s="38" t="s">
        <v>40</v>
      </c>
      <c r="D24" s="43" t="s">
        <v>51</v>
      </c>
      <c r="E24" s="44"/>
      <c r="I24" s="38" t="s">
        <v>39</v>
      </c>
      <c r="J24" s="39"/>
      <c r="K24" s="38" t="s">
        <v>29</v>
      </c>
      <c r="L24" s="88" t="s">
        <v>82</v>
      </c>
      <c r="M24" s="38"/>
      <c r="N24" s="39" t="s">
        <v>30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>
      <c r="A25" s="1"/>
      <c r="B25" s="107" t="s">
        <v>31</v>
      </c>
      <c r="C25" s="108"/>
      <c r="D25" s="48"/>
      <c r="E25" s="48"/>
      <c r="F25" s="48"/>
      <c r="G25" s="48"/>
      <c r="H25" s="40"/>
      <c r="I25" s="40"/>
      <c r="J25" s="40"/>
      <c r="K25" s="48" t="s">
        <v>32</v>
      </c>
      <c r="L25" s="40"/>
      <c r="M25" s="40"/>
      <c r="N25" s="4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46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6">
      <c r="A27" s="1"/>
      <c r="B27" s="41" t="s">
        <v>33</v>
      </c>
      <c r="C27" s="40"/>
      <c r="D27" s="40"/>
      <c r="E27" s="40"/>
      <c r="F27" s="40"/>
      <c r="G27" s="40"/>
      <c r="H27" s="40"/>
      <c r="I27" s="40"/>
      <c r="J27" s="4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42"/>
      <c r="B28" s="110" t="s">
        <v>34</v>
      </c>
      <c r="C28" s="108"/>
      <c r="D28" s="108"/>
      <c r="E28" s="108"/>
      <c r="F28" s="108"/>
      <c r="G28" s="110" t="s">
        <v>35</v>
      </c>
      <c r="H28" s="110"/>
      <c r="I28" s="110"/>
      <c r="J28" s="110"/>
      <c r="K28" s="110"/>
      <c r="L28" s="110"/>
      <c r="M28" s="110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6">
      <c r="A29" s="1"/>
      <c r="B29" s="110" t="s">
        <v>36</v>
      </c>
      <c r="C29" s="108"/>
      <c r="D29" s="108"/>
      <c r="E29" s="108"/>
      <c r="F29" s="108"/>
      <c r="G29" s="110" t="s">
        <v>37</v>
      </c>
      <c r="H29" s="108"/>
      <c r="I29" s="108"/>
      <c r="J29" s="10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46"/>
      <c r="C30" s="46"/>
      <c r="D30" s="46"/>
      <c r="E30" s="46"/>
      <c r="F30" s="46"/>
      <c r="G30" s="46"/>
      <c r="H30" s="46"/>
      <c r="I30" s="46"/>
      <c r="J30" s="4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04" t="s">
        <v>38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24">
    <mergeCell ref="B31:N31"/>
    <mergeCell ref="B25:C25"/>
    <mergeCell ref="B26:N26"/>
    <mergeCell ref="B28:F28"/>
    <mergeCell ref="G28:M28"/>
    <mergeCell ref="B29:F29"/>
    <mergeCell ref="G29:J29"/>
    <mergeCell ref="B19:C19"/>
    <mergeCell ref="B14:N14"/>
    <mergeCell ref="B17:N17"/>
    <mergeCell ref="B18:C18"/>
    <mergeCell ref="D13:E13"/>
    <mergeCell ref="H13:I13"/>
    <mergeCell ref="J13:L13"/>
    <mergeCell ref="B1:N1"/>
    <mergeCell ref="B2:N2"/>
    <mergeCell ref="B3:N3"/>
    <mergeCell ref="H6:I6"/>
    <mergeCell ref="H12:I12"/>
    <mergeCell ref="H7:I7"/>
    <mergeCell ref="H8:I8"/>
    <mergeCell ref="H9:I9"/>
    <mergeCell ref="H10:I10"/>
    <mergeCell ref="H11:I11"/>
  </mergeCells>
  <phoneticPr fontId="12" type="noConversion"/>
  <pageMargins left="0.7" right="0.7" top="0.75" bottom="0.75" header="0.3" footer="0.3"/>
  <pageSetup paperSize="9" scale="5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0988-D20B-4104-95E3-30F2757E855B}">
  <sheetPr>
    <pageSetUpPr fitToPage="1"/>
  </sheetPr>
  <dimension ref="A1:Z990"/>
  <sheetViews>
    <sheetView zoomScale="50" zoomScaleNormal="50" workbookViewId="0">
      <selection activeCell="D30" sqref="D30"/>
    </sheetView>
  </sheetViews>
  <sheetFormatPr defaultColWidth="11.1796875" defaultRowHeight="15"/>
  <cols>
    <col min="1" max="1" width="1.81640625" style="82" customWidth="1"/>
    <col min="2" max="2" width="18.1796875" style="82" customWidth="1"/>
    <col min="3" max="3" width="14.81640625" style="82" customWidth="1"/>
    <col min="4" max="7" width="13.54296875" style="82" customWidth="1"/>
    <col min="8" max="9" width="15.1796875" style="82" customWidth="1"/>
    <col min="10" max="11" width="13.54296875" style="82" customWidth="1"/>
    <col min="12" max="12" width="26.1796875" style="82" bestFit="1" customWidth="1"/>
    <col min="13" max="13" width="12.453125" style="82" customWidth="1"/>
    <col min="14" max="14" width="18.1796875" style="82" customWidth="1"/>
    <col min="15" max="26" width="9" style="82" customWidth="1"/>
    <col min="27" max="16384" width="11.1796875" style="82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85"/>
      <c r="B4" s="2" t="s">
        <v>2</v>
      </c>
      <c r="C4" s="3" t="s">
        <v>74</v>
      </c>
      <c r="D4" s="3"/>
      <c r="E4" s="4"/>
      <c r="F4" s="4"/>
      <c r="G4" s="4"/>
      <c r="H4" s="4"/>
      <c r="I4" s="4"/>
      <c r="J4" s="5" t="s">
        <v>3</v>
      </c>
      <c r="K4" s="6">
        <v>5</v>
      </c>
      <c r="L4" s="7"/>
      <c r="M4" s="5" t="s">
        <v>4</v>
      </c>
      <c r="N4" s="6">
        <v>2026</v>
      </c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8">
      <c r="A5" s="1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6" t="s">
        <v>5</v>
      </c>
      <c r="C6" s="86" t="s">
        <v>6</v>
      </c>
      <c r="D6" s="86" t="s">
        <v>7</v>
      </c>
      <c r="E6" s="86" t="s">
        <v>8</v>
      </c>
      <c r="F6" s="86" t="s">
        <v>9</v>
      </c>
      <c r="G6" s="86" t="s">
        <v>10</v>
      </c>
      <c r="H6" s="120" t="s">
        <v>11</v>
      </c>
      <c r="I6" s="121"/>
      <c r="J6" s="86" t="s">
        <v>12</v>
      </c>
      <c r="K6" s="86" t="s">
        <v>13</v>
      </c>
      <c r="L6" s="86" t="s">
        <v>14</v>
      </c>
      <c r="M6" s="86" t="s">
        <v>15</v>
      </c>
      <c r="N6" s="86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46182</v>
      </c>
      <c r="C7" s="60" t="s">
        <v>79</v>
      </c>
      <c r="D7" s="61">
        <v>0.58333333333333337</v>
      </c>
      <c r="E7" s="61">
        <v>0.66666666666666663</v>
      </c>
      <c r="F7" s="62">
        <v>2</v>
      </c>
      <c r="G7" s="63">
        <v>5</v>
      </c>
      <c r="H7" s="122" t="s">
        <v>96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ht="22.2" thickBot="1">
      <c r="A8" s="2"/>
      <c r="B8" s="56"/>
      <c r="C8" s="56"/>
      <c r="D8" s="127" t="s">
        <v>17</v>
      </c>
      <c r="E8" s="136"/>
      <c r="F8" s="73">
        <f>SUM(F7:F7)</f>
        <v>2</v>
      </c>
      <c r="G8" s="58" t="s">
        <v>18</v>
      </c>
      <c r="H8" s="129"/>
      <c r="I8" s="137"/>
      <c r="J8" s="124" t="s">
        <v>19</v>
      </c>
      <c r="K8" s="138"/>
      <c r="L8" s="139"/>
      <c r="M8" s="66">
        <f>SUM(M7:M7)</f>
        <v>0</v>
      </c>
      <c r="N8" s="6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1"/>
      <c r="B9" s="103" t="s">
        <v>21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>
      <c r="A11" s="1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>
      <c r="A12" s="1"/>
      <c r="B12" s="99" t="s">
        <v>22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thickBot="1">
      <c r="A13" s="1"/>
      <c r="B13" s="105" t="s">
        <v>23</v>
      </c>
      <c r="C13" s="106"/>
      <c r="D13" s="22"/>
      <c r="E13" s="22"/>
      <c r="F13" s="22">
        <f>F8</f>
        <v>2</v>
      </c>
      <c r="G13" s="23" t="s">
        <v>18</v>
      </c>
      <c r="H13" s="24" t="s">
        <v>52</v>
      </c>
      <c r="I13" s="25" t="s">
        <v>24</v>
      </c>
      <c r="J13" s="23">
        <f>F13*75</f>
        <v>150</v>
      </c>
      <c r="K13" s="26"/>
      <c r="L13" s="24"/>
      <c r="M13" s="27"/>
      <c r="N13" s="2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thickBot="1">
      <c r="A14" s="1"/>
      <c r="B14" s="105" t="s">
        <v>25</v>
      </c>
      <c r="C14" s="106"/>
      <c r="D14" s="24"/>
      <c r="E14" s="24"/>
      <c r="F14" s="24"/>
      <c r="G14" s="24"/>
      <c r="H14" s="24" t="s">
        <v>26</v>
      </c>
      <c r="I14" s="29" t="s">
        <v>24</v>
      </c>
      <c r="J14" s="76">
        <f>M8</f>
        <v>0</v>
      </c>
      <c r="K14" s="30"/>
      <c r="L14" s="24"/>
      <c r="M14" s="31"/>
      <c r="N14" s="3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 thickBot="1">
      <c r="A15" s="1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36" t="s">
        <v>27</v>
      </c>
      <c r="C17" s="36"/>
      <c r="D17" s="36"/>
      <c r="E17" s="36"/>
      <c r="F17" s="36"/>
      <c r="G17" s="36"/>
      <c r="H17" s="36"/>
      <c r="I17" s="36"/>
      <c r="J17" s="36"/>
      <c r="K17" s="36" t="s">
        <v>28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7.5" customHeight="1" thickBot="1">
      <c r="A18" s="1"/>
      <c r="B18" s="37"/>
      <c r="C18" s="37"/>
      <c r="D18" s="37"/>
      <c r="E18" s="37"/>
      <c r="F18" s="37"/>
      <c r="G18" s="37"/>
      <c r="H18" s="37"/>
      <c r="I18" s="37"/>
      <c r="J18" s="1"/>
      <c r="K18" s="37"/>
      <c r="L18" s="37"/>
      <c r="M18" s="37"/>
      <c r="N18" s="3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>
      <c r="A19" s="36"/>
      <c r="B19" s="38" t="s">
        <v>40</v>
      </c>
      <c r="D19" s="43" t="s">
        <v>74</v>
      </c>
      <c r="E19" s="44"/>
      <c r="I19" s="38" t="s">
        <v>39</v>
      </c>
      <c r="J19" s="39"/>
      <c r="K19" s="38" t="s">
        <v>29</v>
      </c>
      <c r="L19" s="88" t="s">
        <v>82</v>
      </c>
      <c r="M19" s="38"/>
      <c r="N19" s="39" t="s">
        <v>30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>
      <c r="A20" s="1"/>
      <c r="B20" s="107" t="s">
        <v>31</v>
      </c>
      <c r="C20" s="108"/>
      <c r="D20" s="84"/>
      <c r="E20" s="84"/>
      <c r="F20" s="84"/>
      <c r="G20" s="84"/>
      <c r="H20" s="40"/>
      <c r="I20" s="40"/>
      <c r="J20" s="40"/>
      <c r="K20" s="84" t="s">
        <v>32</v>
      </c>
      <c r="L20" s="40"/>
      <c r="M20" s="40"/>
      <c r="N20" s="4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85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5.6">
      <c r="A22" s="1"/>
      <c r="B22" s="41" t="s">
        <v>33</v>
      </c>
      <c r="C22" s="40"/>
      <c r="D22" s="40"/>
      <c r="E22" s="40"/>
      <c r="F22" s="40"/>
      <c r="G22" s="40"/>
      <c r="H22" s="40"/>
      <c r="I22" s="40"/>
      <c r="J22" s="4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>
      <c r="A23" s="42"/>
      <c r="B23" s="110" t="s">
        <v>34</v>
      </c>
      <c r="C23" s="108"/>
      <c r="D23" s="108"/>
      <c r="E23" s="108"/>
      <c r="F23" s="108"/>
      <c r="G23" s="110" t="s">
        <v>35</v>
      </c>
      <c r="H23" s="110"/>
      <c r="I23" s="110"/>
      <c r="J23" s="110"/>
      <c r="K23" s="110"/>
      <c r="L23" s="110"/>
      <c r="M23" s="110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6">
      <c r="A24" s="1"/>
      <c r="B24" s="110" t="s">
        <v>36</v>
      </c>
      <c r="C24" s="108"/>
      <c r="D24" s="108"/>
      <c r="E24" s="108"/>
      <c r="F24" s="108"/>
      <c r="G24" s="110" t="s">
        <v>37</v>
      </c>
      <c r="H24" s="108"/>
      <c r="I24" s="108"/>
      <c r="J24" s="10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>
      <c r="A25" s="1"/>
      <c r="B25" s="85"/>
      <c r="C25" s="85"/>
      <c r="D25" s="85"/>
      <c r="E25" s="85"/>
      <c r="F25" s="85"/>
      <c r="G25" s="85"/>
      <c r="H25" s="85"/>
      <c r="I25" s="85"/>
      <c r="J25" s="8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>
      <c r="A26" s="1"/>
      <c r="B26" s="104" t="s">
        <v>38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9">
    <mergeCell ref="B1:N1"/>
    <mergeCell ref="B2:N2"/>
    <mergeCell ref="B3:N3"/>
    <mergeCell ref="H6:I6"/>
    <mergeCell ref="D8:E8"/>
    <mergeCell ref="H8:I8"/>
    <mergeCell ref="J8:L8"/>
    <mergeCell ref="B9:N9"/>
    <mergeCell ref="B12:N12"/>
    <mergeCell ref="B13:C13"/>
    <mergeCell ref="H7:I7"/>
    <mergeCell ref="B26:N26"/>
    <mergeCell ref="B21:N21"/>
    <mergeCell ref="B23:F23"/>
    <mergeCell ref="G23:M23"/>
    <mergeCell ref="B24:F24"/>
    <mergeCell ref="G24:J24"/>
    <mergeCell ref="B14:C14"/>
    <mergeCell ref="B20:C20"/>
  </mergeCells>
  <phoneticPr fontId="12" type="noConversion"/>
  <pageMargins left="0.7" right="0.7" top="0.75" bottom="0.75" header="0.3" footer="0.3"/>
  <pageSetup paperSize="9" scale="54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DC88-8577-4C63-BF2A-D0F597670171}">
  <sheetPr>
    <pageSetUpPr fitToPage="1"/>
  </sheetPr>
  <dimension ref="A1:Z995"/>
  <sheetViews>
    <sheetView zoomScale="70" zoomScaleNormal="70" workbookViewId="0">
      <selection activeCell="B14" sqref="B14:N14"/>
    </sheetView>
  </sheetViews>
  <sheetFormatPr defaultColWidth="11.1796875" defaultRowHeight="15"/>
  <cols>
    <col min="1" max="1" width="1.81640625" style="82" customWidth="1"/>
    <col min="2" max="2" width="18.1796875" style="82" customWidth="1"/>
    <col min="3" max="3" width="14.81640625" style="82" customWidth="1"/>
    <col min="4" max="7" width="13.54296875" style="82" customWidth="1"/>
    <col min="8" max="9" width="15.1796875" style="82" customWidth="1"/>
    <col min="10" max="11" width="13.54296875" style="82" customWidth="1"/>
    <col min="12" max="12" width="26.1796875" style="82" bestFit="1" customWidth="1"/>
    <col min="13" max="13" width="12.453125" style="82" customWidth="1"/>
    <col min="14" max="14" width="18.1796875" style="82" customWidth="1"/>
    <col min="15" max="26" width="9" style="82" customWidth="1"/>
    <col min="27" max="16384" width="11.1796875" style="82"/>
  </cols>
  <sheetData>
    <row r="1" spans="1:26" ht="23.4">
      <c r="A1" s="1"/>
      <c r="B1" s="11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4">
      <c r="A2" s="1"/>
      <c r="B2" s="118" t="s">
        <v>1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1"/>
      <c r="B3" s="119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85"/>
      <c r="B4" s="2" t="s">
        <v>2</v>
      </c>
      <c r="C4" s="3" t="s">
        <v>75</v>
      </c>
      <c r="D4" s="3"/>
      <c r="E4" s="4"/>
      <c r="F4" s="4"/>
      <c r="G4" s="4"/>
      <c r="H4" s="4"/>
      <c r="I4" s="4"/>
      <c r="J4" s="5" t="s">
        <v>3</v>
      </c>
      <c r="K4" s="6">
        <v>6</v>
      </c>
      <c r="L4" s="7"/>
      <c r="M4" s="5" t="s">
        <v>4</v>
      </c>
      <c r="N4" s="6">
        <v>2026</v>
      </c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8.600000000000001" thickBot="1">
      <c r="A5" s="1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8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12" t="s">
        <v>10</v>
      </c>
      <c r="H6" s="140" t="s">
        <v>11</v>
      </c>
      <c r="I6" s="141"/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96" customFormat="1" ht="38.25" customHeight="1">
      <c r="B7" s="59">
        <v>46175</v>
      </c>
      <c r="C7" s="60" t="s">
        <v>93</v>
      </c>
      <c r="D7" s="61">
        <v>0.54166666666666663</v>
      </c>
      <c r="E7" s="61">
        <v>0.58333333333333337</v>
      </c>
      <c r="F7" s="62">
        <v>1</v>
      </c>
      <c r="G7" s="63">
        <v>5</v>
      </c>
      <c r="H7" s="122" t="s">
        <v>95</v>
      </c>
      <c r="I7" s="12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  <c r="W7" s="1"/>
    </row>
    <row r="8" spans="1:26" s="96" customFormat="1" ht="38.25" customHeight="1">
      <c r="B8" s="59">
        <v>46182</v>
      </c>
      <c r="C8" s="60" t="s">
        <v>93</v>
      </c>
      <c r="D8" s="61">
        <v>0.54166666666666663</v>
      </c>
      <c r="E8" s="61">
        <v>0.66666666666666663</v>
      </c>
      <c r="F8" s="62">
        <v>3</v>
      </c>
      <c r="G8" s="63">
        <v>5</v>
      </c>
      <c r="H8" s="122" t="s">
        <v>94</v>
      </c>
      <c r="I8" s="123"/>
      <c r="J8" s="63"/>
      <c r="K8" s="63"/>
      <c r="L8" s="63"/>
      <c r="M8" s="63"/>
      <c r="N8" s="63"/>
      <c r="O8" s="1"/>
      <c r="P8" s="1"/>
      <c r="Q8" s="1"/>
      <c r="R8" s="1"/>
      <c r="S8" s="1"/>
      <c r="T8" s="1"/>
      <c r="U8" s="1"/>
      <c r="V8" s="1"/>
      <c r="W8" s="1"/>
    </row>
    <row r="9" spans="1:26" s="94" customFormat="1" ht="38.25" customHeight="1">
      <c r="B9" s="59">
        <v>46182</v>
      </c>
      <c r="C9" s="60" t="s">
        <v>93</v>
      </c>
      <c r="D9" s="61">
        <v>0.66666666666666663</v>
      </c>
      <c r="E9" s="61">
        <v>0.70833333333333337</v>
      </c>
      <c r="F9" s="62">
        <v>1</v>
      </c>
      <c r="G9" s="63">
        <v>5</v>
      </c>
      <c r="H9" s="122" t="s">
        <v>95</v>
      </c>
      <c r="I9" s="123"/>
      <c r="J9" s="63"/>
      <c r="K9" s="63"/>
      <c r="L9" s="63"/>
      <c r="M9" s="63"/>
      <c r="N9" s="63"/>
      <c r="O9" s="1"/>
      <c r="P9" s="1"/>
      <c r="Q9" s="1"/>
      <c r="R9" s="1"/>
      <c r="S9" s="1"/>
      <c r="T9" s="1"/>
      <c r="U9" s="1"/>
      <c r="V9" s="1"/>
      <c r="W9" s="1"/>
    </row>
    <row r="10" spans="1:26" s="96" customFormat="1" ht="38.25" customHeight="1">
      <c r="B10" s="59">
        <v>46189</v>
      </c>
      <c r="C10" s="60" t="s">
        <v>93</v>
      </c>
      <c r="D10" s="61">
        <v>0.54166666666666663</v>
      </c>
      <c r="E10" s="61">
        <v>0.66666666666666663</v>
      </c>
      <c r="F10" s="62">
        <v>3</v>
      </c>
      <c r="G10" s="63">
        <v>5</v>
      </c>
      <c r="H10" s="122" t="s">
        <v>94</v>
      </c>
      <c r="I10" s="123"/>
      <c r="J10" s="63"/>
      <c r="K10" s="63"/>
      <c r="L10" s="63"/>
      <c r="M10" s="63"/>
      <c r="N10" s="63"/>
      <c r="O10" s="1"/>
      <c r="P10" s="1"/>
      <c r="Q10" s="1"/>
      <c r="R10" s="1"/>
      <c r="S10" s="1"/>
      <c r="T10" s="1"/>
      <c r="U10" s="1"/>
      <c r="V10" s="1"/>
      <c r="W10" s="1"/>
    </row>
    <row r="11" spans="1:26" s="94" customFormat="1" ht="38.25" customHeight="1">
      <c r="B11" s="59">
        <v>46189</v>
      </c>
      <c r="C11" s="60" t="s">
        <v>93</v>
      </c>
      <c r="D11" s="61">
        <v>0.66666666666666663</v>
      </c>
      <c r="E11" s="61">
        <v>0.70833333333333337</v>
      </c>
      <c r="F11" s="62">
        <v>1</v>
      </c>
      <c r="G11" s="63">
        <v>5</v>
      </c>
      <c r="H11" s="122" t="s">
        <v>95</v>
      </c>
      <c r="I11" s="12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  <c r="W11" s="1"/>
    </row>
    <row r="12" spans="1:26" s="94" customFormat="1" ht="38.25" customHeight="1">
      <c r="B12" s="59">
        <v>46191</v>
      </c>
      <c r="C12" s="60" t="s">
        <v>79</v>
      </c>
      <c r="D12" s="61">
        <v>0.41666666666666669</v>
      </c>
      <c r="E12" s="61">
        <v>0.5</v>
      </c>
      <c r="F12" s="62">
        <v>2</v>
      </c>
      <c r="G12" s="63">
        <v>6</v>
      </c>
      <c r="H12" s="151" t="s">
        <v>80</v>
      </c>
      <c r="I12" s="151"/>
      <c r="J12" s="63"/>
      <c r="K12" s="63"/>
      <c r="L12" s="63"/>
      <c r="M12" s="63"/>
      <c r="N12" s="63"/>
      <c r="O12" s="1"/>
      <c r="P12" s="1"/>
      <c r="Q12" s="1"/>
      <c r="R12" s="1"/>
      <c r="S12" s="1"/>
      <c r="T12" s="1"/>
      <c r="U12" s="1"/>
      <c r="V12" s="1"/>
      <c r="W12" s="1"/>
    </row>
    <row r="13" spans="1:26" ht="22.2" thickBot="1">
      <c r="A13" s="2"/>
      <c r="B13" s="56"/>
      <c r="C13" s="56"/>
      <c r="D13" s="127" t="s">
        <v>17</v>
      </c>
      <c r="E13" s="136"/>
      <c r="F13" s="73">
        <f>SUM(F7:F12)</f>
        <v>11</v>
      </c>
      <c r="G13" s="58" t="s">
        <v>18</v>
      </c>
      <c r="H13" s="129"/>
      <c r="I13" s="137"/>
      <c r="J13" s="124" t="s">
        <v>19</v>
      </c>
      <c r="K13" s="138"/>
      <c r="L13" s="139"/>
      <c r="M13" s="66">
        <f>SUM(M11:M11)</f>
        <v>0</v>
      </c>
      <c r="N13" s="6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>
      <c r="A14" s="1"/>
      <c r="B14" s="103" t="s">
        <v>21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 thickBo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1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>
      <c r="A17" s="1"/>
      <c r="B17" s="99" t="s">
        <v>22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thickBot="1">
      <c r="A18" s="1"/>
      <c r="B18" s="105" t="s">
        <v>23</v>
      </c>
      <c r="C18" s="106"/>
      <c r="D18" s="22"/>
      <c r="E18" s="22"/>
      <c r="F18" s="22">
        <f>F13</f>
        <v>11</v>
      </c>
      <c r="G18" s="23" t="s">
        <v>18</v>
      </c>
      <c r="H18" s="24" t="s">
        <v>52</v>
      </c>
      <c r="I18" s="25" t="s">
        <v>24</v>
      </c>
      <c r="J18" s="23">
        <f>F18*75</f>
        <v>825</v>
      </c>
      <c r="K18" s="26"/>
      <c r="L18" s="24"/>
      <c r="M18" s="27"/>
      <c r="N18" s="2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thickBot="1">
      <c r="A19" s="1"/>
      <c r="B19" s="105" t="s">
        <v>25</v>
      </c>
      <c r="C19" s="106"/>
      <c r="D19" s="24"/>
      <c r="E19" s="24"/>
      <c r="F19" s="24"/>
      <c r="G19" s="24"/>
      <c r="H19" s="24" t="s">
        <v>26</v>
      </c>
      <c r="I19" s="29" t="s">
        <v>24</v>
      </c>
      <c r="J19" s="76">
        <f>M13</f>
        <v>0</v>
      </c>
      <c r="K19" s="30"/>
      <c r="L19" s="24"/>
      <c r="M19" s="31"/>
      <c r="N19" s="3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 thickBot="1">
      <c r="A20" s="1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>
      <c r="A22" s="1"/>
      <c r="B22" s="36" t="s">
        <v>27</v>
      </c>
      <c r="C22" s="36"/>
      <c r="D22" s="36"/>
      <c r="E22" s="36"/>
      <c r="F22" s="36"/>
      <c r="G22" s="36"/>
      <c r="H22" s="36"/>
      <c r="I22" s="36"/>
      <c r="J22" s="36"/>
      <c r="K22" s="36" t="s">
        <v>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thickBot="1">
      <c r="A23" s="1"/>
      <c r="B23" s="37"/>
      <c r="C23" s="37"/>
      <c r="D23" s="37"/>
      <c r="E23" s="37"/>
      <c r="F23" s="37"/>
      <c r="G23" s="37"/>
      <c r="H23" s="37"/>
      <c r="I23" s="37"/>
      <c r="J23" s="1"/>
      <c r="K23" s="37"/>
      <c r="L23" s="37"/>
      <c r="M23" s="37"/>
      <c r="N23" s="3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A24" s="36"/>
      <c r="B24" s="38" t="s">
        <v>40</v>
      </c>
      <c r="D24" s="43" t="s">
        <v>75</v>
      </c>
      <c r="E24" s="44"/>
      <c r="I24" s="38" t="s">
        <v>39</v>
      </c>
      <c r="J24" s="39"/>
      <c r="K24" s="38" t="s">
        <v>29</v>
      </c>
      <c r="L24" s="88" t="s">
        <v>82</v>
      </c>
      <c r="M24" s="38"/>
      <c r="N24" s="39" t="s">
        <v>30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>
      <c r="A25" s="1"/>
      <c r="B25" s="107" t="s">
        <v>31</v>
      </c>
      <c r="C25" s="108"/>
      <c r="D25" s="84"/>
      <c r="E25" s="84"/>
      <c r="F25" s="84"/>
      <c r="G25" s="84"/>
      <c r="H25" s="40"/>
      <c r="I25" s="40"/>
      <c r="J25" s="40"/>
      <c r="K25" s="84" t="s">
        <v>32</v>
      </c>
      <c r="L25" s="40"/>
      <c r="M25" s="40"/>
      <c r="N25" s="4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85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5.6">
      <c r="A27" s="1"/>
      <c r="B27" s="41" t="s">
        <v>33</v>
      </c>
      <c r="C27" s="40"/>
      <c r="D27" s="40"/>
      <c r="E27" s="40"/>
      <c r="F27" s="40"/>
      <c r="G27" s="40"/>
      <c r="H27" s="40"/>
      <c r="I27" s="40"/>
      <c r="J27" s="4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42"/>
      <c r="B28" s="110" t="s">
        <v>34</v>
      </c>
      <c r="C28" s="108"/>
      <c r="D28" s="108"/>
      <c r="E28" s="108"/>
      <c r="F28" s="108"/>
      <c r="G28" s="110" t="s">
        <v>35</v>
      </c>
      <c r="H28" s="110"/>
      <c r="I28" s="110"/>
      <c r="J28" s="110"/>
      <c r="K28" s="110"/>
      <c r="L28" s="110"/>
      <c r="M28" s="110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6">
      <c r="A29" s="1"/>
      <c r="B29" s="110" t="s">
        <v>36</v>
      </c>
      <c r="C29" s="108"/>
      <c r="D29" s="108"/>
      <c r="E29" s="108"/>
      <c r="F29" s="108"/>
      <c r="G29" s="110" t="s">
        <v>37</v>
      </c>
      <c r="H29" s="108"/>
      <c r="I29" s="108"/>
      <c r="J29" s="10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"/>
      <c r="B30" s="85"/>
      <c r="C30" s="85"/>
      <c r="D30" s="85"/>
      <c r="E30" s="85"/>
      <c r="F30" s="85"/>
      <c r="G30" s="85"/>
      <c r="H30" s="85"/>
      <c r="I30" s="85"/>
      <c r="J30" s="8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"/>
      <c r="B31" s="104" t="s">
        <v>38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24">
    <mergeCell ref="B14:N14"/>
    <mergeCell ref="B17:N17"/>
    <mergeCell ref="B18:C18"/>
    <mergeCell ref="B31:N31"/>
    <mergeCell ref="B19:C19"/>
    <mergeCell ref="B25:C25"/>
    <mergeCell ref="B28:F28"/>
    <mergeCell ref="G28:M28"/>
    <mergeCell ref="B29:F29"/>
    <mergeCell ref="G29:J29"/>
    <mergeCell ref="B26:N26"/>
    <mergeCell ref="B1:N1"/>
    <mergeCell ref="B2:N2"/>
    <mergeCell ref="B3:N3"/>
    <mergeCell ref="H6:I6"/>
    <mergeCell ref="D13:E13"/>
    <mergeCell ref="H13:I13"/>
    <mergeCell ref="J13:L13"/>
    <mergeCell ref="H11:I11"/>
    <mergeCell ref="H9:I9"/>
    <mergeCell ref="H12:I12"/>
    <mergeCell ref="H10:I10"/>
    <mergeCell ref="H8:I8"/>
    <mergeCell ref="H7:I7"/>
  </mergeCells>
  <phoneticPr fontId="12" type="noConversion"/>
  <pageMargins left="0.7" right="0.7" top="0.75" bottom="0.75" header="0.3" footer="0.3"/>
  <pageSetup paperSize="9" scale="54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156A-DFFF-44DF-9A87-A0B86F537199}">
  <dimension ref="A1:F15"/>
  <sheetViews>
    <sheetView workbookViewId="0">
      <selection activeCell="D4" sqref="D4"/>
    </sheetView>
  </sheetViews>
  <sheetFormatPr defaultColWidth="8.90625" defaultRowHeight="15"/>
  <cols>
    <col min="1" max="1" width="8.90625" style="72"/>
    <col min="2" max="16384" width="8.90625" style="50"/>
  </cols>
  <sheetData>
    <row r="1" spans="1:6">
      <c r="B1" s="51"/>
    </row>
    <row r="3" spans="1:6">
      <c r="B3" s="74" t="s">
        <v>57</v>
      </c>
      <c r="C3" s="74" t="s">
        <v>58</v>
      </c>
      <c r="D3" s="74" t="s">
        <v>59</v>
      </c>
      <c r="E3" s="74" t="s">
        <v>60</v>
      </c>
      <c r="F3" s="74" t="s">
        <v>61</v>
      </c>
    </row>
    <row r="4" spans="1:6">
      <c r="A4" s="75" t="s">
        <v>62</v>
      </c>
    </row>
    <row r="5" spans="1:6">
      <c r="A5" s="75" t="s">
        <v>63</v>
      </c>
    </row>
    <row r="6" spans="1:6">
      <c r="A6" s="75" t="s">
        <v>64</v>
      </c>
    </row>
    <row r="7" spans="1:6">
      <c r="A7" s="75" t="s">
        <v>65</v>
      </c>
    </row>
    <row r="8" spans="1:6">
      <c r="A8" s="75" t="s">
        <v>66</v>
      </c>
    </row>
    <row r="9" spans="1:6">
      <c r="A9" s="75" t="s">
        <v>67</v>
      </c>
    </row>
    <row r="10" spans="1:6">
      <c r="A10" s="75" t="s">
        <v>68</v>
      </c>
    </row>
    <row r="11" spans="1:6">
      <c r="A11" s="75" t="s">
        <v>69</v>
      </c>
    </row>
    <row r="12" spans="1:6">
      <c r="A12" s="75" t="s">
        <v>70</v>
      </c>
    </row>
    <row r="13" spans="1:6">
      <c r="A13" s="75" t="s">
        <v>71</v>
      </c>
    </row>
    <row r="14" spans="1:6">
      <c r="A14" s="75" t="s">
        <v>72</v>
      </c>
    </row>
    <row r="15" spans="1:6">
      <c r="A15" s="75" t="s">
        <v>73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連鳳儀</vt:lpstr>
      <vt:lpstr>張瑞虹</vt:lpstr>
      <vt:lpstr>張瑞兒</vt:lpstr>
      <vt:lpstr>張詠蘭</vt:lpstr>
      <vt:lpstr>蔡健文</vt:lpstr>
      <vt:lpstr>聶桂芳</vt:lpstr>
      <vt:lpstr>區黃玉琴</vt:lpstr>
      <vt:lpstr>陳玉玲</vt:lpstr>
      <vt:lpstr>杜群芳</vt:lpstr>
      <vt:lpstr>高秀珍</vt:lpstr>
      <vt:lpstr>陳好定</vt:lpstr>
      <vt:lpstr>李嘉俊</vt:lpstr>
      <vt:lpstr>彭錦華</vt:lpstr>
      <vt:lpstr>楊耀榮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Wong Ho Yin</cp:lastModifiedBy>
  <cp:lastPrinted>2026-06-17T02:13:36Z</cp:lastPrinted>
  <dcterms:created xsi:type="dcterms:W3CDTF">2017-05-09T01:41:23Z</dcterms:created>
  <dcterms:modified xsi:type="dcterms:W3CDTF">2026-06-17T02:23:53Z</dcterms:modified>
</cp:coreProperties>
</file>