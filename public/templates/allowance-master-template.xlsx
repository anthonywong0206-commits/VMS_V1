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yinwong\Desktop\Anthony\F. 行政及財政\義工時數紀錄\"/>
    </mc:Choice>
  </mc:AlternateContent>
  <xr:revisionPtr revIDLastSave="0" documentId="13_ncr:1_{7A538D50-9C98-4A59-A1CF-6725C09FA2A9}" xr6:coauthVersionLast="36" xr6:coauthVersionMax="36" xr10:uidLastSave="{00000000-0000-0000-0000-000000000000}"/>
  <bookViews>
    <workbookView xWindow="0" yWindow="0" windowWidth="14076" windowHeight="8268" activeTab="2" xr2:uid="{37203520-C93C-41AB-8DC4-63D221BCF51E}"/>
  </bookViews>
  <sheets>
    <sheet name="Master_Allowance" sheetId="1" r:id="rId1"/>
    <sheet name="Q1_Code " sheetId="24" r:id="rId2"/>
    <sheet name="Q2_Code" sheetId="26" r:id="rId3"/>
    <sheet name="找數比總會" sheetId="22" r:id="rId4"/>
    <sheet name="連鳳儀" sheetId="2" r:id="rId5"/>
    <sheet name="張瑞虹" sheetId="3" r:id="rId6"/>
    <sheet name="張瑞兒" sheetId="4" r:id="rId7"/>
    <sheet name="張詠蘭" sheetId="5" r:id="rId8"/>
    <sheet name="蔡健文" sheetId="6" r:id="rId9"/>
    <sheet name="聶桂芳" sheetId="7" r:id="rId10"/>
    <sheet name="區王玉琴" sheetId="8" r:id="rId11"/>
    <sheet name="陳玉玲" sheetId="9" r:id="rId12"/>
    <sheet name="杜群芳" sheetId="10" r:id="rId13"/>
    <sheet name="高秀珍" sheetId="11" r:id="rId14"/>
    <sheet name="陳好定" sheetId="12" r:id="rId15"/>
    <sheet name="李嘉俊" sheetId="13" r:id="rId16"/>
    <sheet name="彭錦華" sheetId="20" r:id="rId17"/>
    <sheet name="楊耀榮" sheetId="21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0" i="1" l="1"/>
  <c r="R41" i="1"/>
  <c r="I31" i="26" l="1"/>
  <c r="I32" i="26"/>
  <c r="I33" i="26"/>
  <c r="I34" i="26"/>
  <c r="I35" i="26"/>
  <c r="I36" i="26"/>
  <c r="I37" i="26"/>
  <c r="I38" i="26"/>
  <c r="I39" i="26"/>
  <c r="I40" i="26"/>
  <c r="I41" i="26"/>
  <c r="I42" i="26"/>
  <c r="I43" i="26"/>
  <c r="I30" i="26"/>
  <c r="G39" i="26"/>
  <c r="G40" i="26"/>
  <c r="G41" i="26"/>
  <c r="G42" i="26"/>
  <c r="G43" i="26"/>
  <c r="O42" i="1"/>
  <c r="N42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8" i="1"/>
  <c r="I16" i="26" l="1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42" i="1"/>
  <c r="H42" i="1"/>
  <c r="J29" i="1"/>
  <c r="J30" i="1"/>
  <c r="J31" i="1"/>
  <c r="J32" i="1"/>
  <c r="J33" i="1"/>
  <c r="J34" i="1"/>
  <c r="J35" i="1"/>
  <c r="J36" i="1"/>
  <c r="J37" i="1"/>
  <c r="J38" i="1"/>
  <c r="J39" i="1"/>
  <c r="J40" i="1"/>
  <c r="L40" i="1" s="1"/>
  <c r="J41" i="1"/>
  <c r="L41" i="1" s="1"/>
  <c r="J28" i="1"/>
  <c r="G2" i="26" l="1"/>
  <c r="I2" i="26" s="1"/>
  <c r="B42" i="1" l="1"/>
  <c r="C42" i="1"/>
  <c r="F40" i="1"/>
  <c r="F41" i="1"/>
  <c r="F29" i="1"/>
  <c r="E42" i="1"/>
  <c r="U41" i="1"/>
  <c r="T41" i="1"/>
  <c r="U40" i="1"/>
  <c r="T40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8" i="1"/>
  <c r="D42" i="1" s="1"/>
  <c r="X24" i="1" l="1"/>
  <c r="G8" i="24" l="1"/>
  <c r="U24" i="1" l="1"/>
  <c r="G27" i="24"/>
  <c r="G30" i="24"/>
  <c r="G33" i="24"/>
  <c r="G36" i="24"/>
  <c r="G39" i="24"/>
  <c r="R9" i="1"/>
  <c r="O24" i="1"/>
  <c r="P22" i="1"/>
  <c r="P24" i="1"/>
  <c r="R22" i="1"/>
  <c r="N24" i="1"/>
  <c r="P21" i="1"/>
  <c r="R21" i="1" s="1"/>
  <c r="P10" i="1"/>
  <c r="P11" i="1"/>
  <c r="P12" i="1"/>
  <c r="P13" i="1"/>
  <c r="P14" i="1"/>
  <c r="P15" i="1"/>
  <c r="P16" i="1"/>
  <c r="P17" i="1"/>
  <c r="P18" i="1"/>
  <c r="P19" i="1"/>
  <c r="P20" i="1"/>
  <c r="P9" i="1"/>
  <c r="J19" i="1" l="1"/>
  <c r="J20" i="1"/>
  <c r="G4" i="24" l="1"/>
  <c r="G7" i="24"/>
  <c r="G10" i="24"/>
  <c r="G13" i="24"/>
  <c r="G16" i="24"/>
  <c r="G19" i="24"/>
  <c r="G22" i="24"/>
  <c r="G25" i="24"/>
  <c r="G26" i="24"/>
  <c r="G29" i="24"/>
  <c r="G32" i="24"/>
  <c r="G35" i="24"/>
  <c r="G38" i="24"/>
  <c r="G41" i="24"/>
  <c r="D12" i="1" l="1"/>
  <c r="B24" i="1"/>
  <c r="D24" i="1" l="1"/>
  <c r="C24" i="1"/>
  <c r="L21" i="1" l="1"/>
  <c r="L22" i="1"/>
  <c r="I24" i="1"/>
  <c r="H24" i="1"/>
  <c r="T24" i="1" s="1"/>
  <c r="B2" i="1" s="1"/>
  <c r="J10" i="1"/>
  <c r="J11" i="1"/>
  <c r="J12" i="1"/>
  <c r="J13" i="1"/>
  <c r="J14" i="1"/>
  <c r="J15" i="1"/>
  <c r="J16" i="1"/>
  <c r="J17" i="1"/>
  <c r="J18" i="1"/>
  <c r="J21" i="1"/>
  <c r="J22" i="1"/>
  <c r="J9" i="1"/>
  <c r="J24" i="1" l="1"/>
  <c r="V24" i="1" s="1"/>
  <c r="W21" i="1"/>
  <c r="X21" i="1"/>
  <c r="W22" i="1"/>
  <c r="X22" i="1"/>
  <c r="V21" i="1"/>
  <c r="V22" i="1"/>
  <c r="E2" i="1"/>
  <c r="U22" i="1" l="1"/>
  <c r="U21" i="1"/>
  <c r="D10" i="1" l="1"/>
  <c r="D11" i="1"/>
  <c r="D13" i="1"/>
  <c r="D14" i="1"/>
  <c r="D15" i="1"/>
  <c r="D16" i="1"/>
  <c r="D17" i="1"/>
  <c r="D18" i="1"/>
  <c r="D19" i="1"/>
  <c r="D20" i="1"/>
  <c r="D21" i="1"/>
  <c r="F21" i="1" s="1"/>
  <c r="D22" i="1"/>
  <c r="F22" i="1" s="1"/>
  <c r="D9" i="1"/>
  <c r="F9" i="1" s="1"/>
  <c r="T22" i="1"/>
  <c r="T21" i="1"/>
  <c r="G38" i="26" l="1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I15" i="26" s="1"/>
  <c r="G14" i="26"/>
  <c r="I14" i="26" s="1"/>
  <c r="G13" i="26"/>
  <c r="I13" i="26" s="1"/>
  <c r="G12" i="26"/>
  <c r="I12" i="26" s="1"/>
  <c r="G11" i="26"/>
  <c r="I11" i="26" s="1"/>
  <c r="G10" i="26"/>
  <c r="I10" i="26" s="1"/>
  <c r="G9" i="26"/>
  <c r="I9" i="26" s="1"/>
  <c r="G8" i="26"/>
  <c r="I8" i="26" s="1"/>
  <c r="G7" i="26"/>
  <c r="I7" i="26" s="1"/>
  <c r="G6" i="26"/>
  <c r="I6" i="26" s="1"/>
  <c r="G5" i="26"/>
  <c r="I5" i="26" s="1"/>
  <c r="G4" i="26"/>
  <c r="I4" i="26" s="1"/>
  <c r="G3" i="26"/>
  <c r="I3" i="26" s="1"/>
  <c r="K24" i="1"/>
  <c r="E24" i="1"/>
  <c r="W20" i="1"/>
  <c r="V20" i="1"/>
  <c r="U20" i="1"/>
  <c r="T20" i="1"/>
  <c r="R20" i="1"/>
  <c r="L20" i="1"/>
  <c r="F20" i="1"/>
  <c r="W19" i="1"/>
  <c r="V19" i="1"/>
  <c r="U19" i="1"/>
  <c r="T19" i="1"/>
  <c r="R19" i="1"/>
  <c r="L19" i="1"/>
  <c r="F19" i="1"/>
  <c r="W18" i="1"/>
  <c r="V18" i="1"/>
  <c r="U18" i="1"/>
  <c r="T18" i="1"/>
  <c r="R18" i="1"/>
  <c r="L18" i="1"/>
  <c r="F18" i="1"/>
  <c r="W17" i="1"/>
  <c r="V17" i="1"/>
  <c r="U17" i="1"/>
  <c r="T17" i="1"/>
  <c r="R17" i="1"/>
  <c r="L17" i="1"/>
  <c r="F17" i="1"/>
  <c r="W16" i="1"/>
  <c r="V16" i="1"/>
  <c r="U16" i="1"/>
  <c r="T16" i="1"/>
  <c r="R16" i="1"/>
  <c r="L16" i="1"/>
  <c r="F16" i="1"/>
  <c r="W15" i="1"/>
  <c r="V15" i="1"/>
  <c r="U15" i="1"/>
  <c r="T15" i="1"/>
  <c r="R15" i="1"/>
  <c r="L15" i="1"/>
  <c r="F15" i="1"/>
  <c r="W14" i="1"/>
  <c r="V14" i="1"/>
  <c r="U14" i="1"/>
  <c r="T14" i="1"/>
  <c r="R14" i="1"/>
  <c r="L14" i="1"/>
  <c r="F14" i="1"/>
  <c r="W13" i="1"/>
  <c r="V13" i="1"/>
  <c r="U13" i="1"/>
  <c r="T13" i="1"/>
  <c r="R13" i="1"/>
  <c r="L13" i="1"/>
  <c r="F13" i="1"/>
  <c r="W12" i="1"/>
  <c r="V12" i="1"/>
  <c r="U12" i="1"/>
  <c r="T12" i="1"/>
  <c r="R12" i="1"/>
  <c r="L12" i="1"/>
  <c r="F12" i="1"/>
  <c r="W11" i="1"/>
  <c r="V11" i="1"/>
  <c r="U11" i="1"/>
  <c r="T11" i="1"/>
  <c r="R11" i="1"/>
  <c r="R24" i="1" s="1"/>
  <c r="L11" i="1"/>
  <c r="F11" i="1"/>
  <c r="W10" i="1"/>
  <c r="V10" i="1"/>
  <c r="U10" i="1"/>
  <c r="T10" i="1"/>
  <c r="R10" i="1"/>
  <c r="L10" i="1"/>
  <c r="F10" i="1"/>
  <c r="W9" i="1"/>
  <c r="V9" i="1"/>
  <c r="U9" i="1"/>
  <c r="T9" i="1"/>
  <c r="L9" i="1"/>
  <c r="X18" i="1" l="1"/>
  <c r="L24" i="1"/>
  <c r="X13" i="1"/>
  <c r="X20" i="1"/>
  <c r="X9" i="1"/>
  <c r="X12" i="1"/>
  <c r="X16" i="1"/>
  <c r="D2" i="1"/>
  <c r="F2" i="1" s="1"/>
  <c r="W24" i="1"/>
  <c r="X15" i="1"/>
  <c r="X10" i="1"/>
  <c r="X11" i="1"/>
  <c r="C2" i="1"/>
  <c r="F24" i="1"/>
  <c r="X17" i="1"/>
  <c r="X19" i="1"/>
  <c r="X14" i="1"/>
  <c r="U64" i="1"/>
  <c r="T64" i="1"/>
  <c r="O78" i="1"/>
  <c r="N78" i="1"/>
  <c r="H78" i="1"/>
  <c r="I78" i="1"/>
  <c r="C78" i="1"/>
  <c r="B78" i="1"/>
  <c r="T69" i="1" l="1"/>
  <c r="G23" i="24" l="1"/>
  <c r="G31" i="24" l="1"/>
  <c r="P78" i="1" l="1"/>
  <c r="G3" i="24"/>
  <c r="G6" i="24"/>
  <c r="G9" i="24"/>
  <c r="G12" i="24"/>
  <c r="G15" i="24"/>
  <c r="G18" i="24"/>
  <c r="G21" i="24"/>
  <c r="G24" i="24"/>
  <c r="G28" i="24"/>
  <c r="G34" i="24"/>
  <c r="G37" i="24"/>
  <c r="G40" i="24"/>
  <c r="G2" i="24"/>
  <c r="G5" i="24"/>
  <c r="G11" i="24"/>
  <c r="G14" i="24"/>
  <c r="G17" i="24"/>
  <c r="G20" i="24"/>
  <c r="J78" i="1" l="1"/>
  <c r="R75" i="1"/>
  <c r="R76" i="1"/>
  <c r="R77" i="1"/>
  <c r="L76" i="1"/>
  <c r="L77" i="1"/>
  <c r="F76" i="1" l="1"/>
  <c r="F77" i="1"/>
  <c r="D78" i="1" l="1"/>
  <c r="U77" i="1"/>
  <c r="T77" i="1"/>
  <c r="U76" i="1"/>
  <c r="T76" i="1"/>
  <c r="U75" i="1"/>
  <c r="T75" i="1"/>
  <c r="V75" i="1"/>
  <c r="X75" i="1" s="1"/>
  <c r="L75" i="1"/>
  <c r="F75" i="1"/>
  <c r="U74" i="1"/>
  <c r="T74" i="1"/>
  <c r="R74" i="1"/>
  <c r="L74" i="1"/>
  <c r="F74" i="1"/>
  <c r="U73" i="1"/>
  <c r="T73" i="1"/>
  <c r="R73" i="1"/>
  <c r="L73" i="1"/>
  <c r="V73" i="1"/>
  <c r="X73" i="1" s="1"/>
  <c r="U72" i="1"/>
  <c r="T72" i="1"/>
  <c r="R72" i="1"/>
  <c r="L72" i="1"/>
  <c r="F72" i="1"/>
  <c r="V71" i="1"/>
  <c r="X71" i="1" s="1"/>
  <c r="U71" i="1"/>
  <c r="T71" i="1"/>
  <c r="R71" i="1"/>
  <c r="L71" i="1"/>
  <c r="F71" i="1"/>
  <c r="U70" i="1"/>
  <c r="T70" i="1"/>
  <c r="R70" i="1"/>
  <c r="L70" i="1"/>
  <c r="F70" i="1"/>
  <c r="U69" i="1"/>
  <c r="L69" i="1"/>
  <c r="F69" i="1"/>
  <c r="U68" i="1"/>
  <c r="T68" i="1"/>
  <c r="L68" i="1"/>
  <c r="F68" i="1"/>
  <c r="U67" i="1"/>
  <c r="T67" i="1"/>
  <c r="R67" i="1"/>
  <c r="L67" i="1"/>
  <c r="F67" i="1"/>
  <c r="U66" i="1"/>
  <c r="T66" i="1"/>
  <c r="V66" i="1"/>
  <c r="X66" i="1" s="1"/>
  <c r="L66" i="1"/>
  <c r="F66" i="1"/>
  <c r="U65" i="1"/>
  <c r="T65" i="1"/>
  <c r="R65" i="1"/>
  <c r="L65" i="1"/>
  <c r="F65" i="1"/>
  <c r="R64" i="1"/>
  <c r="L64" i="1"/>
  <c r="F64" i="1"/>
  <c r="T78" i="1" l="1"/>
  <c r="U78" i="1"/>
  <c r="L78" i="1"/>
  <c r="V68" i="1"/>
  <c r="X68" i="1" s="1"/>
  <c r="R68" i="1"/>
  <c r="R66" i="1"/>
  <c r="V76" i="1"/>
  <c r="X76" i="1" s="1"/>
  <c r="V69" i="1"/>
  <c r="X69" i="1" s="1"/>
  <c r="V72" i="1"/>
  <c r="X72" i="1" s="1"/>
  <c r="V65" i="1"/>
  <c r="X65" i="1" s="1"/>
  <c r="V77" i="1"/>
  <c r="X77" i="1" s="1"/>
  <c r="V74" i="1"/>
  <c r="X74" i="1" s="1"/>
  <c r="V67" i="1"/>
  <c r="X67" i="1" s="1"/>
  <c r="R69" i="1"/>
  <c r="F73" i="1"/>
  <c r="F78" i="1" s="1"/>
  <c r="V64" i="1"/>
  <c r="X64" i="1" s="1"/>
  <c r="V70" i="1"/>
  <c r="X70" i="1" s="1"/>
  <c r="C9" i="22"/>
  <c r="X78" i="1" l="1"/>
  <c r="X79" i="1" s="1"/>
  <c r="R78" i="1"/>
  <c r="X82" i="1"/>
  <c r="X83" i="1" s="1"/>
  <c r="U58" i="1"/>
  <c r="U59" i="1"/>
  <c r="T58" i="1"/>
  <c r="T59" i="1"/>
  <c r="U47" i="1"/>
  <c r="U48" i="1"/>
  <c r="U49" i="1"/>
  <c r="U50" i="1"/>
  <c r="U51" i="1"/>
  <c r="U52" i="1"/>
  <c r="U53" i="1"/>
  <c r="U54" i="1"/>
  <c r="U55" i="1"/>
  <c r="U56" i="1"/>
  <c r="U57" i="1"/>
  <c r="U46" i="1"/>
  <c r="T47" i="1"/>
  <c r="T48" i="1"/>
  <c r="T49" i="1"/>
  <c r="T50" i="1"/>
  <c r="T51" i="1"/>
  <c r="T52" i="1"/>
  <c r="T53" i="1"/>
  <c r="T54" i="1"/>
  <c r="T55" i="1"/>
  <c r="T56" i="1"/>
  <c r="T57" i="1"/>
  <c r="T46" i="1"/>
  <c r="R58" i="1" l="1"/>
  <c r="R59" i="1"/>
  <c r="L58" i="1" l="1"/>
  <c r="L59" i="1"/>
  <c r="Q12" i="21" l="1"/>
  <c r="O12" i="21"/>
  <c r="N12" i="21"/>
  <c r="L12" i="21"/>
  <c r="K12" i="21"/>
  <c r="J12" i="21"/>
  <c r="Q11" i="21"/>
  <c r="O11" i="21"/>
  <c r="N11" i="21"/>
  <c r="L11" i="21"/>
  <c r="K11" i="21"/>
  <c r="J11" i="21"/>
  <c r="Q10" i="21"/>
  <c r="O10" i="21"/>
  <c r="N10" i="21"/>
  <c r="L10" i="21"/>
  <c r="K10" i="21"/>
  <c r="J10" i="21"/>
  <c r="Q8" i="21"/>
  <c r="O8" i="21"/>
  <c r="N8" i="21"/>
  <c r="L8" i="21"/>
  <c r="K8" i="21"/>
  <c r="J8" i="21"/>
  <c r="Q7" i="21"/>
  <c r="O7" i="21"/>
  <c r="N7" i="21"/>
  <c r="L7" i="21"/>
  <c r="K7" i="21"/>
  <c r="J7" i="21"/>
  <c r="Q6" i="21"/>
  <c r="O6" i="21"/>
  <c r="N6" i="21"/>
  <c r="L6" i="21"/>
  <c r="K6" i="21"/>
  <c r="J6" i="21"/>
  <c r="Q5" i="21"/>
  <c r="O5" i="21"/>
  <c r="N5" i="21"/>
  <c r="L5" i="21"/>
  <c r="K5" i="21"/>
  <c r="J5" i="21"/>
  <c r="Q4" i="21"/>
  <c r="O4" i="21"/>
  <c r="N4" i="21"/>
  <c r="L4" i="21"/>
  <c r="K4" i="21"/>
  <c r="J4" i="21"/>
  <c r="Q3" i="21"/>
  <c r="O3" i="21"/>
  <c r="N3" i="21"/>
  <c r="L3" i="21"/>
  <c r="K3" i="21"/>
  <c r="J3" i="21"/>
  <c r="Q12" i="20"/>
  <c r="O12" i="20"/>
  <c r="N12" i="20"/>
  <c r="L12" i="20"/>
  <c r="K12" i="20"/>
  <c r="J12" i="20"/>
  <c r="Q11" i="20"/>
  <c r="O11" i="20"/>
  <c r="N11" i="20"/>
  <c r="L11" i="20"/>
  <c r="K11" i="20"/>
  <c r="J11" i="20"/>
  <c r="Q10" i="20"/>
  <c r="O10" i="20"/>
  <c r="N10" i="20"/>
  <c r="L10" i="20"/>
  <c r="K10" i="20"/>
  <c r="J10" i="20"/>
  <c r="Q8" i="20"/>
  <c r="N8" i="20"/>
  <c r="L8" i="20"/>
  <c r="K8" i="20"/>
  <c r="J8" i="20"/>
  <c r="Q7" i="20"/>
  <c r="N7" i="20"/>
  <c r="L7" i="20"/>
  <c r="K7" i="20"/>
  <c r="J7" i="20"/>
  <c r="Q6" i="20"/>
  <c r="N6" i="20"/>
  <c r="L6" i="20"/>
  <c r="K6" i="20"/>
  <c r="J6" i="20"/>
  <c r="Q5" i="20"/>
  <c r="N5" i="20"/>
  <c r="L5" i="20"/>
  <c r="K5" i="20"/>
  <c r="J5" i="20"/>
  <c r="Q4" i="20"/>
  <c r="O4" i="20"/>
  <c r="N4" i="20"/>
  <c r="L4" i="20"/>
  <c r="K4" i="20"/>
  <c r="J4" i="20"/>
  <c r="Q3" i="20"/>
  <c r="O3" i="20"/>
  <c r="N3" i="20"/>
  <c r="L3" i="20"/>
  <c r="K3" i="20"/>
  <c r="J3" i="20"/>
  <c r="F58" i="1" l="1"/>
  <c r="X58" i="1" s="1"/>
  <c r="V58" i="1"/>
  <c r="F59" i="1"/>
  <c r="X59" i="1" s="1"/>
  <c r="V59" i="1"/>
  <c r="V47" i="1" l="1"/>
  <c r="V48" i="1"/>
  <c r="V49" i="1"/>
  <c r="V50" i="1"/>
  <c r="V51" i="1"/>
  <c r="V52" i="1"/>
  <c r="V53" i="1"/>
  <c r="V54" i="1"/>
  <c r="V55" i="1"/>
  <c r="V56" i="1"/>
  <c r="V57" i="1"/>
  <c r="V46" i="1" l="1"/>
  <c r="K7" i="5" l="1"/>
  <c r="K8" i="5"/>
  <c r="J3" i="3" l="1"/>
  <c r="O4" i="11" l="1"/>
  <c r="O5" i="11"/>
  <c r="O6" i="11"/>
  <c r="Q4" i="11"/>
  <c r="J13" i="12" l="1"/>
  <c r="K13" i="12"/>
  <c r="L13" i="12"/>
  <c r="N13" i="12"/>
  <c r="O13" i="12"/>
  <c r="Q13" i="12"/>
  <c r="L35" i="1" l="1"/>
  <c r="F31" i="1"/>
  <c r="F35" i="1"/>
  <c r="R35" i="1" l="1"/>
  <c r="X35" i="1" s="1"/>
  <c r="T29" i="1" l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W42" i="1"/>
  <c r="U28" i="1"/>
  <c r="V28" i="1"/>
  <c r="W28" i="1"/>
  <c r="T28" i="1"/>
  <c r="X57" i="1"/>
  <c r="X56" i="1"/>
  <c r="X55" i="1"/>
  <c r="X54" i="1"/>
  <c r="X53" i="1"/>
  <c r="X52" i="1"/>
  <c r="X51" i="1"/>
  <c r="X50" i="1"/>
  <c r="X49" i="1"/>
  <c r="X48" i="1"/>
  <c r="X47" i="1"/>
  <c r="X46" i="1"/>
  <c r="K42" i="1"/>
  <c r="R57" i="1"/>
  <c r="L57" i="1"/>
  <c r="F57" i="1"/>
  <c r="R56" i="1"/>
  <c r="L56" i="1"/>
  <c r="F56" i="1"/>
  <c r="R55" i="1"/>
  <c r="L55" i="1"/>
  <c r="F55" i="1"/>
  <c r="R54" i="1"/>
  <c r="L54" i="1"/>
  <c r="F54" i="1"/>
  <c r="R53" i="1"/>
  <c r="L53" i="1"/>
  <c r="F53" i="1"/>
  <c r="R52" i="1"/>
  <c r="L52" i="1"/>
  <c r="F52" i="1"/>
  <c r="R51" i="1"/>
  <c r="L51" i="1"/>
  <c r="F51" i="1"/>
  <c r="R50" i="1"/>
  <c r="L50" i="1"/>
  <c r="F50" i="1"/>
  <c r="R49" i="1"/>
  <c r="L49" i="1"/>
  <c r="F49" i="1"/>
  <c r="R48" i="1"/>
  <c r="L48" i="1"/>
  <c r="F48" i="1"/>
  <c r="R47" i="1"/>
  <c r="L47" i="1"/>
  <c r="F47" i="1"/>
  <c r="R46" i="1"/>
  <c r="L46" i="1"/>
  <c r="F46" i="1"/>
  <c r="P42" i="1"/>
  <c r="R39" i="1"/>
  <c r="R38" i="1"/>
  <c r="R37" i="1"/>
  <c r="R36" i="1"/>
  <c r="R34" i="1"/>
  <c r="R33" i="1"/>
  <c r="R32" i="1"/>
  <c r="R31" i="1"/>
  <c r="R30" i="1"/>
  <c r="R29" i="1"/>
  <c r="R28" i="1"/>
  <c r="F34" i="1"/>
  <c r="F28" i="1"/>
  <c r="F42" i="1" s="1"/>
  <c r="T42" i="1" l="1"/>
  <c r="F60" i="1"/>
  <c r="U42" i="1"/>
  <c r="R42" i="1"/>
  <c r="L60" i="1"/>
  <c r="J11" i="12"/>
  <c r="K11" i="12"/>
  <c r="L11" i="12"/>
  <c r="N11" i="12"/>
  <c r="O11" i="12"/>
  <c r="Q11" i="12"/>
  <c r="K4" i="11"/>
  <c r="K5" i="11"/>
  <c r="K6" i="11"/>
  <c r="K7" i="11"/>
  <c r="J4" i="9"/>
  <c r="K4" i="9"/>
  <c r="L4" i="9"/>
  <c r="N4" i="9"/>
  <c r="O4" i="9"/>
  <c r="Q4" i="9"/>
  <c r="J5" i="9"/>
  <c r="K5" i="9"/>
  <c r="L5" i="9"/>
  <c r="N5" i="9"/>
  <c r="O5" i="9"/>
  <c r="Q5" i="9"/>
  <c r="J6" i="9"/>
  <c r="K6" i="9"/>
  <c r="L6" i="9"/>
  <c r="N6" i="9"/>
  <c r="O6" i="9"/>
  <c r="Q6" i="9"/>
  <c r="J7" i="9"/>
  <c r="K7" i="9"/>
  <c r="L7" i="9"/>
  <c r="N7" i="9"/>
  <c r="O7" i="9"/>
  <c r="Q7" i="9"/>
  <c r="J8" i="9"/>
  <c r="K8" i="9"/>
  <c r="L8" i="9"/>
  <c r="N8" i="9"/>
  <c r="O8" i="9"/>
  <c r="Q8" i="9"/>
  <c r="J7" i="8"/>
  <c r="L7" i="8"/>
  <c r="N7" i="8"/>
  <c r="O7" i="8"/>
  <c r="Q7" i="8"/>
  <c r="J3" i="5"/>
  <c r="O4" i="5"/>
  <c r="O5" i="5"/>
  <c r="O6" i="5"/>
  <c r="O7" i="5"/>
  <c r="O8" i="5"/>
  <c r="O9" i="5"/>
  <c r="O10" i="5"/>
  <c r="O11" i="5"/>
  <c r="O3" i="5"/>
  <c r="Q10" i="5"/>
  <c r="N10" i="5"/>
  <c r="L10" i="5"/>
  <c r="K10" i="5"/>
  <c r="Q9" i="5"/>
  <c r="N9" i="5"/>
  <c r="L9" i="5"/>
  <c r="K9" i="5"/>
  <c r="J9" i="5"/>
  <c r="Q10" i="4"/>
  <c r="O10" i="4"/>
  <c r="N10" i="4"/>
  <c r="L10" i="4"/>
  <c r="K10" i="4"/>
  <c r="J10" i="4"/>
  <c r="O4" i="4"/>
  <c r="O5" i="4"/>
  <c r="O6" i="4"/>
  <c r="O7" i="4"/>
  <c r="O8" i="4"/>
  <c r="O9" i="4"/>
  <c r="O11" i="4"/>
  <c r="O12" i="4"/>
  <c r="O13" i="4"/>
  <c r="O3" i="4"/>
  <c r="N3" i="3"/>
  <c r="N4" i="3"/>
  <c r="N5" i="3"/>
  <c r="N6" i="3"/>
  <c r="N7" i="3"/>
  <c r="N8" i="3"/>
  <c r="N9" i="3"/>
  <c r="Q12" i="13" l="1"/>
  <c r="O12" i="13"/>
  <c r="N12" i="13"/>
  <c r="L12" i="13"/>
  <c r="K12" i="13"/>
  <c r="J12" i="13"/>
  <c r="J6" i="13"/>
  <c r="Q11" i="13"/>
  <c r="O11" i="13"/>
  <c r="N11" i="13"/>
  <c r="L11" i="13"/>
  <c r="K11" i="13"/>
  <c r="J11" i="13"/>
  <c r="Q10" i="13"/>
  <c r="O10" i="13"/>
  <c r="N10" i="13"/>
  <c r="L10" i="13"/>
  <c r="K10" i="13"/>
  <c r="J10" i="13"/>
  <c r="J3" i="13"/>
  <c r="K3" i="13"/>
  <c r="L3" i="13"/>
  <c r="N3" i="13"/>
  <c r="O3" i="13"/>
  <c r="Q3" i="13"/>
  <c r="J4" i="13"/>
  <c r="K4" i="13"/>
  <c r="L4" i="13"/>
  <c r="N4" i="13"/>
  <c r="O4" i="13"/>
  <c r="Q4" i="13"/>
  <c r="J5" i="13"/>
  <c r="K5" i="13"/>
  <c r="L5" i="13"/>
  <c r="N5" i="13"/>
  <c r="O5" i="13"/>
  <c r="Q5" i="13"/>
  <c r="K6" i="13"/>
  <c r="L6" i="13"/>
  <c r="N6" i="13"/>
  <c r="O6" i="13"/>
  <c r="Q6" i="13"/>
  <c r="J7" i="13"/>
  <c r="K7" i="13"/>
  <c r="L7" i="13"/>
  <c r="N7" i="13"/>
  <c r="O7" i="13"/>
  <c r="Q7" i="13"/>
  <c r="J8" i="13"/>
  <c r="K8" i="13"/>
  <c r="L8" i="13"/>
  <c r="N8" i="13"/>
  <c r="O8" i="13"/>
  <c r="Q8" i="13"/>
  <c r="K7" i="12"/>
  <c r="Q12" i="12"/>
  <c r="O12" i="12"/>
  <c r="N12" i="12"/>
  <c r="L12" i="12"/>
  <c r="K12" i="12"/>
  <c r="J12" i="12"/>
  <c r="J8" i="12"/>
  <c r="K8" i="12"/>
  <c r="L8" i="12"/>
  <c r="N8" i="12"/>
  <c r="O8" i="12"/>
  <c r="Q8" i="12"/>
  <c r="J9" i="12"/>
  <c r="K9" i="12"/>
  <c r="L9" i="12"/>
  <c r="N9" i="12"/>
  <c r="O9" i="12"/>
  <c r="Q9" i="12"/>
  <c r="J10" i="12"/>
  <c r="K10" i="12"/>
  <c r="L10" i="12"/>
  <c r="N10" i="12"/>
  <c r="O10" i="12"/>
  <c r="Q10" i="12"/>
  <c r="J4" i="12"/>
  <c r="K4" i="12"/>
  <c r="L4" i="12"/>
  <c r="N4" i="12"/>
  <c r="O4" i="12"/>
  <c r="Q4" i="12"/>
  <c r="J5" i="12"/>
  <c r="K5" i="12"/>
  <c r="L5" i="12"/>
  <c r="N5" i="12"/>
  <c r="O5" i="12"/>
  <c r="Q5" i="12"/>
  <c r="J6" i="12"/>
  <c r="K6" i="12"/>
  <c r="L6" i="12"/>
  <c r="N6" i="12"/>
  <c r="O6" i="12"/>
  <c r="Q6" i="12"/>
  <c r="O7" i="12"/>
  <c r="O3" i="12"/>
  <c r="Q7" i="12"/>
  <c r="N7" i="12"/>
  <c r="L7" i="12"/>
  <c r="J7" i="12"/>
  <c r="Q3" i="12"/>
  <c r="N3" i="12"/>
  <c r="L3" i="12"/>
  <c r="K3" i="12"/>
  <c r="J3" i="12"/>
  <c r="Q6" i="11"/>
  <c r="N6" i="11"/>
  <c r="L6" i="11"/>
  <c r="J6" i="11"/>
  <c r="Q7" i="11"/>
  <c r="O7" i="11"/>
  <c r="N7" i="11"/>
  <c r="L7" i="11"/>
  <c r="J7" i="11"/>
  <c r="Q5" i="11"/>
  <c r="N5" i="11"/>
  <c r="L5" i="11"/>
  <c r="J5" i="11"/>
  <c r="N4" i="11"/>
  <c r="L4" i="11"/>
  <c r="J4" i="11"/>
  <c r="Q3" i="11"/>
  <c r="N3" i="11"/>
  <c r="L3" i="11"/>
  <c r="K3" i="11"/>
  <c r="J3" i="11"/>
  <c r="Q10" i="9"/>
  <c r="O10" i="9"/>
  <c r="N10" i="9"/>
  <c r="L10" i="9"/>
  <c r="J10" i="9"/>
  <c r="Q9" i="9"/>
  <c r="O9" i="9"/>
  <c r="N9" i="9"/>
  <c r="L9" i="9"/>
  <c r="J9" i="9"/>
  <c r="Q3" i="9"/>
  <c r="O3" i="9"/>
  <c r="N3" i="9"/>
  <c r="L3" i="9"/>
  <c r="K3" i="9"/>
  <c r="J3" i="9"/>
  <c r="Q9" i="8"/>
  <c r="O9" i="8"/>
  <c r="N9" i="8"/>
  <c r="L9" i="8"/>
  <c r="J9" i="8"/>
  <c r="Q8" i="8"/>
  <c r="O8" i="8"/>
  <c r="N8" i="8"/>
  <c r="L8" i="8"/>
  <c r="K8" i="8"/>
  <c r="J8" i="8"/>
  <c r="Q10" i="8"/>
  <c r="O10" i="8"/>
  <c r="N10" i="8"/>
  <c r="L10" i="8"/>
  <c r="J10" i="8"/>
  <c r="Q6" i="8"/>
  <c r="O6" i="8"/>
  <c r="N6" i="8"/>
  <c r="L6" i="8"/>
  <c r="J6" i="8"/>
  <c r="Q5" i="8"/>
  <c r="O5" i="8"/>
  <c r="N5" i="8"/>
  <c r="L5" i="8"/>
  <c r="J5" i="8"/>
  <c r="Q4" i="8"/>
  <c r="O4" i="8"/>
  <c r="N4" i="8"/>
  <c r="L4" i="8"/>
  <c r="K4" i="8"/>
  <c r="J4" i="8"/>
  <c r="Q3" i="8"/>
  <c r="O3" i="8"/>
  <c r="N3" i="8"/>
  <c r="L3" i="8"/>
  <c r="K3" i="8"/>
  <c r="J3" i="8"/>
  <c r="Q13" i="7"/>
  <c r="O13" i="7"/>
  <c r="N13" i="7"/>
  <c r="L13" i="7"/>
  <c r="J13" i="7"/>
  <c r="Q12" i="7"/>
  <c r="O12" i="7"/>
  <c r="N12" i="7"/>
  <c r="L12" i="7"/>
  <c r="K12" i="7"/>
  <c r="J12" i="7"/>
  <c r="Q11" i="7"/>
  <c r="O11" i="7"/>
  <c r="N11" i="7"/>
  <c r="L11" i="7"/>
  <c r="K11" i="7"/>
  <c r="J11" i="7"/>
  <c r="Q9" i="7"/>
  <c r="O9" i="7"/>
  <c r="N9" i="7"/>
  <c r="L9" i="7"/>
  <c r="J9" i="7"/>
  <c r="Q8" i="7"/>
  <c r="O8" i="7"/>
  <c r="N8" i="7"/>
  <c r="L8" i="7"/>
  <c r="J8" i="7"/>
  <c r="Q7" i="7"/>
  <c r="O7" i="7"/>
  <c r="N7" i="7"/>
  <c r="L7" i="7"/>
  <c r="J7" i="7"/>
  <c r="Q6" i="7"/>
  <c r="O6" i="7"/>
  <c r="N6" i="7"/>
  <c r="L6" i="7"/>
  <c r="K6" i="7"/>
  <c r="J6" i="7"/>
  <c r="Q5" i="7"/>
  <c r="O5" i="7"/>
  <c r="N5" i="7"/>
  <c r="L5" i="7"/>
  <c r="K5" i="7"/>
  <c r="J5" i="7"/>
  <c r="Q4" i="7"/>
  <c r="O4" i="7"/>
  <c r="N4" i="7"/>
  <c r="L4" i="7"/>
  <c r="K4" i="7"/>
  <c r="J4" i="7"/>
  <c r="Q3" i="7"/>
  <c r="O3" i="7"/>
  <c r="N3" i="7"/>
  <c r="L3" i="7"/>
  <c r="K3" i="7"/>
  <c r="J3" i="7"/>
  <c r="Q13" i="6"/>
  <c r="O13" i="6"/>
  <c r="N13" i="6"/>
  <c r="L13" i="6"/>
  <c r="J13" i="6"/>
  <c r="Q12" i="6"/>
  <c r="O12" i="6"/>
  <c r="N12" i="6"/>
  <c r="L12" i="6"/>
  <c r="K12" i="6"/>
  <c r="J12" i="6"/>
  <c r="Q11" i="6"/>
  <c r="O11" i="6"/>
  <c r="N11" i="6"/>
  <c r="L11" i="6"/>
  <c r="K11" i="6"/>
  <c r="J11" i="6"/>
  <c r="O3" i="6"/>
  <c r="O4" i="6"/>
  <c r="O5" i="6"/>
  <c r="O6" i="6"/>
  <c r="O7" i="6"/>
  <c r="O8" i="6"/>
  <c r="O9" i="6"/>
  <c r="Q9" i="6"/>
  <c r="N9" i="6"/>
  <c r="L9" i="6"/>
  <c r="J9" i="6"/>
  <c r="Q8" i="6"/>
  <c r="N8" i="6"/>
  <c r="L8" i="6"/>
  <c r="J8" i="6"/>
  <c r="Q7" i="6"/>
  <c r="N7" i="6"/>
  <c r="L7" i="6"/>
  <c r="J7" i="6"/>
  <c r="Q6" i="6"/>
  <c r="N6" i="6"/>
  <c r="L6" i="6"/>
  <c r="K6" i="6"/>
  <c r="J6" i="6"/>
  <c r="Q5" i="6"/>
  <c r="N5" i="6"/>
  <c r="L5" i="6"/>
  <c r="K5" i="6"/>
  <c r="J5" i="6"/>
  <c r="Q4" i="6"/>
  <c r="N4" i="6"/>
  <c r="L4" i="6"/>
  <c r="K4" i="6"/>
  <c r="J4" i="6"/>
  <c r="Q3" i="6"/>
  <c r="N3" i="6"/>
  <c r="L3" i="6"/>
  <c r="K3" i="6"/>
  <c r="J3" i="6"/>
  <c r="Q3" i="5"/>
  <c r="L31" i="1"/>
  <c r="Q6" i="5"/>
  <c r="N6" i="5"/>
  <c r="L6" i="5"/>
  <c r="K6" i="5"/>
  <c r="J6" i="5"/>
  <c r="Q11" i="5"/>
  <c r="N11" i="5"/>
  <c r="L11" i="5"/>
  <c r="J11" i="5"/>
  <c r="Q8" i="5"/>
  <c r="N8" i="5"/>
  <c r="L8" i="5"/>
  <c r="J8" i="5"/>
  <c r="Q7" i="5"/>
  <c r="N7" i="5"/>
  <c r="L7" i="5"/>
  <c r="J7" i="5"/>
  <c r="Q5" i="5"/>
  <c r="N5" i="5"/>
  <c r="L5" i="5"/>
  <c r="K5" i="5"/>
  <c r="J5" i="5"/>
  <c r="Q4" i="5"/>
  <c r="N4" i="5"/>
  <c r="L4" i="5"/>
  <c r="K4" i="5"/>
  <c r="J4" i="5"/>
  <c r="N3" i="5"/>
  <c r="L3" i="5"/>
  <c r="K3" i="5"/>
  <c r="Q13" i="4"/>
  <c r="N13" i="4"/>
  <c r="L13" i="4"/>
  <c r="J13" i="4"/>
  <c r="Q12" i="4"/>
  <c r="N12" i="4"/>
  <c r="L12" i="4"/>
  <c r="J12" i="4"/>
  <c r="Q11" i="4"/>
  <c r="N11" i="4"/>
  <c r="L11" i="4"/>
  <c r="J11" i="4"/>
  <c r="Q9" i="4"/>
  <c r="N9" i="4"/>
  <c r="L9" i="4"/>
  <c r="J9" i="4"/>
  <c r="Q8" i="4"/>
  <c r="N8" i="4"/>
  <c r="L8" i="4"/>
  <c r="K8" i="4"/>
  <c r="J8" i="4"/>
  <c r="Q7" i="4"/>
  <c r="N7" i="4"/>
  <c r="L7" i="4"/>
  <c r="K7" i="4"/>
  <c r="J7" i="4"/>
  <c r="Q6" i="4"/>
  <c r="N6" i="4"/>
  <c r="L6" i="4"/>
  <c r="K6" i="4"/>
  <c r="J6" i="4"/>
  <c r="Q5" i="4"/>
  <c r="N5" i="4"/>
  <c r="L5" i="4"/>
  <c r="K5" i="4"/>
  <c r="J5" i="4"/>
  <c r="Q4" i="4"/>
  <c r="N4" i="4"/>
  <c r="L4" i="4"/>
  <c r="K4" i="4"/>
  <c r="J4" i="4"/>
  <c r="Q3" i="4"/>
  <c r="N3" i="4"/>
  <c r="L3" i="4"/>
  <c r="K3" i="4"/>
  <c r="J3" i="4"/>
  <c r="P9" i="3"/>
  <c r="M9" i="3"/>
  <c r="K9" i="3"/>
  <c r="J9" i="3"/>
  <c r="P8" i="3"/>
  <c r="M8" i="3"/>
  <c r="K8" i="3"/>
  <c r="J8" i="3"/>
  <c r="P7" i="3"/>
  <c r="M7" i="3"/>
  <c r="K7" i="3"/>
  <c r="J7" i="3"/>
  <c r="P6" i="3"/>
  <c r="M6" i="3"/>
  <c r="K6" i="3"/>
  <c r="J6" i="3"/>
  <c r="P5" i="3"/>
  <c r="M5" i="3"/>
  <c r="K5" i="3"/>
  <c r="J5" i="3"/>
  <c r="P4" i="3"/>
  <c r="M4" i="3"/>
  <c r="K4" i="3"/>
  <c r="J4" i="3"/>
  <c r="P3" i="3"/>
  <c r="M3" i="3"/>
  <c r="K3" i="3"/>
  <c r="J10" i="2"/>
  <c r="K10" i="2"/>
  <c r="M10" i="2"/>
  <c r="N10" i="2"/>
  <c r="P10" i="2"/>
  <c r="J11" i="2"/>
  <c r="K11" i="2"/>
  <c r="M11" i="2"/>
  <c r="N11" i="2"/>
  <c r="P11" i="2"/>
  <c r="J12" i="2"/>
  <c r="K12" i="2"/>
  <c r="M12" i="2"/>
  <c r="N12" i="2"/>
  <c r="P12" i="2"/>
  <c r="J13" i="2"/>
  <c r="K13" i="2"/>
  <c r="M13" i="2"/>
  <c r="N13" i="2"/>
  <c r="P13" i="2"/>
  <c r="J14" i="2"/>
  <c r="K14" i="2"/>
  <c r="M14" i="2"/>
  <c r="N14" i="2"/>
  <c r="P14" i="2"/>
  <c r="J15" i="2"/>
  <c r="K15" i="2"/>
  <c r="M15" i="2"/>
  <c r="N15" i="2"/>
  <c r="P15" i="2"/>
  <c r="J16" i="2"/>
  <c r="K16" i="2"/>
  <c r="M16" i="2"/>
  <c r="N16" i="2"/>
  <c r="P16" i="2"/>
  <c r="J4" i="2"/>
  <c r="K4" i="2"/>
  <c r="M4" i="2"/>
  <c r="N4" i="2"/>
  <c r="P4" i="2"/>
  <c r="J5" i="2"/>
  <c r="K5" i="2"/>
  <c r="M5" i="2"/>
  <c r="N5" i="2"/>
  <c r="P5" i="2"/>
  <c r="J6" i="2"/>
  <c r="K6" i="2"/>
  <c r="M6" i="2"/>
  <c r="N6" i="2"/>
  <c r="P6" i="2"/>
  <c r="J7" i="2"/>
  <c r="K7" i="2"/>
  <c r="M7" i="2"/>
  <c r="N7" i="2"/>
  <c r="P7" i="2"/>
  <c r="J8" i="2"/>
  <c r="K8" i="2"/>
  <c r="M8" i="2"/>
  <c r="N8" i="2"/>
  <c r="P8" i="2"/>
  <c r="J9" i="2"/>
  <c r="K9" i="2"/>
  <c r="M9" i="2"/>
  <c r="N9" i="2"/>
  <c r="P9" i="2"/>
  <c r="P3" i="2"/>
  <c r="N3" i="2"/>
  <c r="M3" i="2"/>
  <c r="K3" i="2"/>
  <c r="J3" i="2"/>
  <c r="F30" i="1" l="1"/>
  <c r="X31" i="1"/>
  <c r="F32" i="1"/>
  <c r="F33" i="1"/>
  <c r="F36" i="1"/>
  <c r="X36" i="1" s="1"/>
  <c r="F37" i="1"/>
  <c r="J42" i="1"/>
  <c r="V42" i="1" s="1"/>
  <c r="L29" i="1"/>
  <c r="L30" i="1"/>
  <c r="L32" i="1"/>
  <c r="L33" i="1"/>
  <c r="L34" i="1"/>
  <c r="X34" i="1" s="1"/>
  <c r="L36" i="1"/>
  <c r="L37" i="1"/>
  <c r="L38" i="1"/>
  <c r="L39" i="1"/>
  <c r="L28" i="1"/>
  <c r="F38" i="1"/>
  <c r="X38" i="1" s="1"/>
  <c r="F39" i="1"/>
  <c r="X39" i="1" s="1"/>
  <c r="X28" i="1" l="1"/>
  <c r="L42" i="1"/>
  <c r="L2" i="1"/>
  <c r="X30" i="1"/>
  <c r="X37" i="1"/>
  <c r="X29" i="1"/>
  <c r="X33" i="1"/>
  <c r="X32" i="1"/>
  <c r="L3" i="1" l="1"/>
  <c r="L4" i="1" s="1"/>
  <c r="X42" i="1"/>
</calcChain>
</file>

<file path=xl/sharedStrings.xml><?xml version="1.0" encoding="utf-8"?>
<sst xmlns="http://schemas.openxmlformats.org/spreadsheetml/2006/main" count="1073" uniqueCount="263">
  <si>
    <t>連鳳儀</t>
    <phoneticPr fontId="1" type="noConversion"/>
  </si>
  <si>
    <t>張瑞虹</t>
    <phoneticPr fontId="1" type="noConversion"/>
  </si>
  <si>
    <t>張瑞兒</t>
    <phoneticPr fontId="1" type="noConversion"/>
  </si>
  <si>
    <t>張詠蘭</t>
    <phoneticPr fontId="1" type="noConversion"/>
  </si>
  <si>
    <t>蔡健文</t>
    <phoneticPr fontId="1" type="noConversion"/>
  </si>
  <si>
    <t>聶桂芳</t>
    <phoneticPr fontId="1" type="noConversion"/>
  </si>
  <si>
    <t>區黃玉琴</t>
    <phoneticPr fontId="1" type="noConversion"/>
  </si>
  <si>
    <t>陳玉玲</t>
    <phoneticPr fontId="1" type="noConversion"/>
  </si>
  <si>
    <t>杜群芳</t>
    <phoneticPr fontId="1" type="noConversion"/>
  </si>
  <si>
    <t>高秀珍</t>
    <phoneticPr fontId="1" type="noConversion"/>
  </si>
  <si>
    <t>陳好定</t>
    <phoneticPr fontId="1" type="noConversion"/>
  </si>
  <si>
    <t>李嘉俊</t>
    <phoneticPr fontId="1" type="noConversion"/>
  </si>
  <si>
    <t>服務時數</t>
    <phoneticPr fontId="1" type="noConversion"/>
  </si>
  <si>
    <t>津貼</t>
    <phoneticPr fontId="1" type="noConversion"/>
  </si>
  <si>
    <t>/</t>
    <phoneticPr fontId="3" type="noConversion"/>
  </si>
  <si>
    <t>第三節PSG小組準備</t>
    <phoneticPr fontId="3" type="noConversion"/>
  </si>
  <si>
    <t>第二節PSG小組</t>
    <phoneticPr fontId="3" type="noConversion"/>
  </si>
  <si>
    <t>第二節PSG小組準備</t>
    <phoneticPr fontId="3" type="noConversion"/>
  </si>
  <si>
    <t>第一節PSG小組</t>
    <phoneticPr fontId="3" type="noConversion"/>
  </si>
  <si>
    <t>第一節PSG小組準備</t>
    <phoneticPr fontId="3" type="noConversion"/>
  </si>
  <si>
    <t>協助填寫PSG 網上問卷</t>
    <phoneticPr fontId="3" type="noConversion"/>
  </si>
  <si>
    <t>-</t>
    <phoneticPr fontId="1" type="noConversion"/>
  </si>
  <si>
    <t>hrs</t>
    <phoneticPr fontId="1" type="noConversion"/>
  </si>
  <si>
    <t>(</t>
    <phoneticPr fontId="1" type="noConversion"/>
  </si>
  <si>
    <t>)</t>
    <phoneticPr fontId="1" type="noConversion"/>
  </si>
  <si>
    <t>第二節PSG小組檢討</t>
    <phoneticPr fontId="3" type="noConversion"/>
  </si>
  <si>
    <t>第一節PSG小組檢討</t>
    <phoneticPr fontId="3" type="noConversion"/>
  </si>
  <si>
    <t>李蓮香</t>
  </si>
  <si>
    <t>PS月會</t>
    <phoneticPr fontId="3" type="noConversion"/>
  </si>
  <si>
    <t>上門/外出接觸及探訪</t>
  </si>
  <si>
    <t>李芷玲</t>
  </si>
  <si>
    <t>梁鳳蓮</t>
  </si>
  <si>
    <t>/</t>
    <phoneticPr fontId="1" type="noConversion"/>
  </si>
  <si>
    <t>PS節日活動導督會議</t>
    <phoneticPr fontId="3" type="noConversion"/>
  </si>
  <si>
    <t>唐德慶</t>
  </si>
  <si>
    <t>鍾群芳</t>
  </si>
  <si>
    <t>鄭秋雲</t>
  </si>
  <si>
    <t>何惠儀</t>
  </si>
  <si>
    <t>2, 5</t>
  </si>
  <si>
    <t>電話聯絡/慰問</t>
  </si>
  <si>
    <t>協助安眠之旅小組</t>
    <phoneticPr fontId="3" type="noConversion"/>
  </si>
  <si>
    <t>PS 月會</t>
    <phoneticPr fontId="3" type="noConversion"/>
  </si>
  <si>
    <t>電話聯絡/慰問</t>
    <phoneticPr fontId="1" type="noConversion"/>
  </si>
  <si>
    <t>PSG小組督導</t>
    <phoneticPr fontId="3" type="noConversion"/>
  </si>
  <si>
    <t>PS 復活動活動</t>
    <phoneticPr fontId="3" type="noConversion"/>
  </si>
  <si>
    <t>陳彩娟</t>
  </si>
  <si>
    <t>陪同及協助參與小組</t>
    <phoneticPr fontId="1" type="noConversion"/>
  </si>
  <si>
    <t>上門/外出接觸及探訪</t>
    <phoneticPr fontId="1" type="noConversion"/>
  </si>
  <si>
    <t>總時數</t>
    <phoneticPr fontId="1" type="noConversion"/>
  </si>
  <si>
    <t>II-A1-c-HCC-001</t>
    <phoneticPr fontId="9" type="noConversion"/>
  </si>
  <si>
    <t>II-A1-c-HCC-005</t>
  </si>
  <si>
    <t>II-A1-c-HCC-006</t>
  </si>
  <si>
    <t>II-A1-c-HCC-007</t>
  </si>
  <si>
    <t>II-A1-c-HCC-008</t>
  </si>
  <si>
    <t>II-A1-c-HCC-009</t>
  </si>
  <si>
    <t>II-A1-c-HCC-010</t>
  </si>
  <si>
    <t>II-A1-c-HCC-011</t>
  </si>
  <si>
    <t>II-A1-c-HCC-012</t>
  </si>
  <si>
    <t>II-A1-c-HCC-013</t>
  </si>
  <si>
    <t>II-A1-c-HCC-014</t>
  </si>
  <si>
    <t>II-A1-c-HCC-015</t>
  </si>
  <si>
    <t>II-A1-c-HCC-016</t>
  </si>
  <si>
    <t>II-A1-c-HCC-017</t>
  </si>
  <si>
    <t>II-A1-c-HCC-018</t>
  </si>
  <si>
    <t>II-A1-c-HCC-019</t>
  </si>
  <si>
    <t>II-A1-c-HCC-020</t>
  </si>
  <si>
    <t>II-A1-c-HCC-021</t>
  </si>
  <si>
    <t>II-A1-c-HCC-022</t>
  </si>
  <si>
    <t>II-A1-c-HCC-023</t>
  </si>
  <si>
    <t>II-A1-c-HCC-024</t>
  </si>
  <si>
    <t>II-A1-c-HCC-025</t>
  </si>
  <si>
    <t>II-A1-c-HCC-026</t>
  </si>
  <si>
    <t>II-A1-c-HCC-027</t>
  </si>
  <si>
    <t>II-A1-c-HCC-028</t>
  </si>
  <si>
    <t>II-A1-c-HCC-029</t>
  </si>
  <si>
    <t>II-A1-c-HCC-030</t>
  </si>
  <si>
    <t>II-A1-c-HCC-031</t>
  </si>
  <si>
    <t>II-A1-c-HCC-032</t>
  </si>
  <si>
    <t>II-A1-c-HCC-033</t>
  </si>
  <si>
    <t>II-A1-c-HCC-034</t>
  </si>
  <si>
    <t>II-A1-c-HCC-035</t>
  </si>
  <si>
    <t>義工姓名</t>
    <phoneticPr fontId="1" type="noConversion"/>
  </si>
  <si>
    <t>津貼總額</t>
    <phoneticPr fontId="1" type="noConversion"/>
  </si>
  <si>
    <t>服務津貼</t>
    <phoneticPr fontId="1" type="noConversion"/>
  </si>
  <si>
    <t>交通費</t>
    <phoneticPr fontId="1" type="noConversion"/>
  </si>
  <si>
    <t>服務時數</t>
    <phoneticPr fontId="1" type="noConversion"/>
  </si>
  <si>
    <t>督導時數</t>
    <phoneticPr fontId="1" type="noConversion"/>
  </si>
  <si>
    <t>黃麗貞, 陳秀貞</t>
    <phoneticPr fontId="1" type="noConversion"/>
  </si>
  <si>
    <t>月份</t>
    <phoneticPr fontId="1" type="noConversion"/>
  </si>
  <si>
    <t>彭錦華</t>
    <phoneticPr fontId="1" type="noConversion"/>
  </si>
  <si>
    <t>楊耀榮</t>
    <phoneticPr fontId="1" type="noConversion"/>
  </si>
  <si>
    <t>李寶儀</t>
  </si>
  <si>
    <t>/</t>
  </si>
  <si>
    <t>PS小組督導會議</t>
    <phoneticPr fontId="3" type="noConversion"/>
  </si>
  <si>
    <t>第六節PSG小組檢討</t>
    <phoneticPr fontId="3" type="noConversion"/>
  </si>
  <si>
    <t>第六節PSG小組</t>
    <phoneticPr fontId="3" type="noConversion"/>
  </si>
  <si>
    <t>第六節PSG小組準備</t>
    <phoneticPr fontId="3" type="noConversion"/>
  </si>
  <si>
    <t>第五節PSG小組檢討</t>
    <phoneticPr fontId="3" type="noConversion"/>
  </si>
  <si>
    <t>第五節PSG小組</t>
    <phoneticPr fontId="3" type="noConversion"/>
  </si>
  <si>
    <t>第五節PSG小組準備</t>
    <phoneticPr fontId="3" type="noConversion"/>
  </si>
  <si>
    <t>第四節PSG小組檢討</t>
    <phoneticPr fontId="3" type="noConversion"/>
  </si>
  <si>
    <t>第四節PSG小組</t>
    <phoneticPr fontId="3" type="noConversion"/>
  </si>
  <si>
    <t>第四節PSG小組準備</t>
    <phoneticPr fontId="3" type="noConversion"/>
  </si>
  <si>
    <t>梁芷玲</t>
    <phoneticPr fontId="3" type="noConversion"/>
  </si>
  <si>
    <t>1, 5</t>
  </si>
  <si>
    <t>上門/外出接觸及探訪</t>
    <phoneticPr fontId="1" type="noConversion"/>
  </si>
  <si>
    <t>電話聯絡/慰問</t>
    <phoneticPr fontId="1" type="noConversion"/>
  </si>
  <si>
    <t>電話聯絡/慰問</t>
    <phoneticPr fontId="3" type="noConversion"/>
  </si>
  <si>
    <t>霍琪珠</t>
  </si>
  <si>
    <t>上門/外出接觸及探訪</t>
    <phoneticPr fontId="3" type="noConversion"/>
  </si>
  <si>
    <t>賴慧瓊</t>
    <phoneticPr fontId="3" type="noConversion"/>
  </si>
  <si>
    <t>賴惠琼</t>
  </si>
  <si>
    <t>黃美雲</t>
  </si>
  <si>
    <t>年度預算</t>
    <phoneticPr fontId="1" type="noConversion"/>
  </si>
  <si>
    <t>已用預算</t>
    <phoneticPr fontId="1" type="noConversion"/>
  </si>
  <si>
    <t>剩餘預算</t>
    <phoneticPr fontId="1" type="noConversion"/>
  </si>
  <si>
    <t>平均每季預算</t>
    <phoneticPr fontId="1" type="noConversion"/>
  </si>
  <si>
    <t>鄭雪吟</t>
  </si>
  <si>
    <t>林春菊</t>
  </si>
  <si>
    <t>王楚湘</t>
  </si>
  <si>
    <t>s</t>
    <phoneticPr fontId="1" type="noConversion"/>
  </si>
  <si>
    <t>方秀蘭</t>
  </si>
  <si>
    <t>交通費編號</t>
    <phoneticPr fontId="1" type="noConversion"/>
  </si>
  <si>
    <t>義工編號</t>
    <phoneticPr fontId="1" type="noConversion"/>
  </si>
  <si>
    <t xml:space="preserve">PE form </t>
    <phoneticPr fontId="1" type="noConversion"/>
  </si>
  <si>
    <t>File Name</t>
    <phoneticPr fontId="1" type="noConversion"/>
  </si>
  <si>
    <t>彭錦華</t>
  </si>
  <si>
    <t>楊耀榮</t>
  </si>
  <si>
    <t>/</t>
    <phoneticPr fontId="1" type="noConversion"/>
  </si>
  <si>
    <t>WRAP小組準備</t>
    <phoneticPr fontId="1" type="noConversion"/>
  </si>
  <si>
    <t>方秀蘭</t>
    <phoneticPr fontId="1" type="noConversion"/>
  </si>
  <si>
    <t>戶口號碼</t>
    <phoneticPr fontId="1" type="noConversion"/>
  </si>
  <si>
    <t>SKH HOLY CCDECC 0/8 HKSEK WC</t>
    <phoneticPr fontId="1" type="noConversion"/>
  </si>
  <si>
    <t>單據編號</t>
    <phoneticPr fontId="9" type="noConversion"/>
  </si>
  <si>
    <t>II-A1-c-HCC-002</t>
    <phoneticPr fontId="9" type="noConversion"/>
  </si>
  <si>
    <t>II-A1-c-HCC-003</t>
    <phoneticPr fontId="9" type="noConversion"/>
  </si>
  <si>
    <t>II-A1-c-HCC-004</t>
    <phoneticPr fontId="9" type="noConversion"/>
  </si>
  <si>
    <t xml:space="preserve"> </t>
    <phoneticPr fontId="1" type="noConversion"/>
  </si>
  <si>
    <t>II-A1-c-HCC-036</t>
  </si>
  <si>
    <t>II-A1-c-HCC-037</t>
  </si>
  <si>
    <t>Q1/2026</t>
    <phoneticPr fontId="1" type="noConversion"/>
  </si>
  <si>
    <t>2026年1月</t>
    <phoneticPr fontId="1" type="noConversion"/>
  </si>
  <si>
    <t>2026年2月</t>
    <phoneticPr fontId="1" type="noConversion"/>
  </si>
  <si>
    <t>2026年3月</t>
    <phoneticPr fontId="1" type="noConversion"/>
  </si>
  <si>
    <t>Q2/2026</t>
  </si>
  <si>
    <t>Q2/2026</t>
    <phoneticPr fontId="1" type="noConversion"/>
  </si>
  <si>
    <t>Q3/2026</t>
  </si>
  <si>
    <t>Q3/2026</t>
    <phoneticPr fontId="1" type="noConversion"/>
  </si>
  <si>
    <t>Q4/2026</t>
  </si>
  <si>
    <t>Q4/2026</t>
    <phoneticPr fontId="1" type="noConversion"/>
  </si>
  <si>
    <t>2026年4月</t>
    <phoneticPr fontId="1" type="noConversion"/>
  </si>
  <si>
    <t>2026年5月</t>
    <phoneticPr fontId="1" type="noConversion"/>
  </si>
  <si>
    <t>2026年6月</t>
    <phoneticPr fontId="1" type="noConversion"/>
  </si>
  <si>
    <t>2026年7月</t>
  </si>
  <si>
    <t>2026年8月</t>
  </si>
  <si>
    <t>2026年9月</t>
  </si>
  <si>
    <t>2026年10月</t>
  </si>
  <si>
    <t>2026年11月</t>
  </si>
  <si>
    <t>2026年12月</t>
  </si>
  <si>
    <t>連鳳儀</t>
  </si>
  <si>
    <t>張瑞虹</t>
  </si>
  <si>
    <t>張瑞兒</t>
  </si>
  <si>
    <t>張詠蘭</t>
  </si>
  <si>
    <t>蔡健文</t>
  </si>
  <si>
    <t>聶桂芳</t>
  </si>
  <si>
    <t>區黃玉琴</t>
  </si>
  <si>
    <t>陳玉玲</t>
  </si>
  <si>
    <t>杜群芳</t>
  </si>
  <si>
    <t>高秀珍</t>
  </si>
  <si>
    <t>陳好定</t>
  </si>
  <si>
    <t>李嘉俊</t>
  </si>
  <si>
    <t>II-A1-c-HCC-038</t>
  </si>
  <si>
    <t>II-A1-c-HCC-039</t>
  </si>
  <si>
    <t>II-A1-c-HCC-040</t>
  </si>
  <si>
    <t>賽馬會樂齡同行計劃_「樂齡友里」義工培訓計劃2026_HCC_1-3/2026</t>
    <phoneticPr fontId="1" type="noConversion"/>
  </si>
  <si>
    <t>賽馬會樂齡同行計劃_CBPR_三葉球同樂日_HCC_1-3/2026</t>
    <phoneticPr fontId="1" type="noConversion"/>
  </si>
  <si>
    <t>賽馬會樂齡同行計劃_平安大吉迎福到(PS帶領活動)_HCC_1-3/2026</t>
  </si>
  <si>
    <t>II-A1-c-HCC-010(3.5 services hrs x75=262.5)</t>
  </si>
  <si>
    <t>II-A1-c-HCC-023(7.5 services hrs x75=562.5)</t>
  </si>
  <si>
    <t>II-A1-c-HCC-036(4 services hrs x75=300)</t>
  </si>
  <si>
    <t>II-A1-c-HCC-011(29 services hrs x75=2175)</t>
  </si>
  <si>
    <t>II-A1-c-HCC-024(12 services hrs x75=900)</t>
  </si>
  <si>
    <t>II-A1-c-HCC-037(5 services hrs x75=375)</t>
  </si>
  <si>
    <t>II-A1-c-HCC-012(3 services hrs x75=225)</t>
  </si>
  <si>
    <t>II-A1-c-HCC-025(3 services hrs x75=225)</t>
  </si>
  <si>
    <t>II-A1-c-HCC-038(3 services hrs x75=225)</t>
  </si>
  <si>
    <t>II-A1-c-HCC-013(6 services hrs x75=450)</t>
  </si>
  <si>
    <t>II-A1-c-HCC-026(7 services hrs x75=525)</t>
  </si>
  <si>
    <t>II-A1-c-HCC-039(3 services hrs x75=225)</t>
  </si>
  <si>
    <t>II-A1-c-HCC-014(3.5 services hrs x75=262.5)</t>
  </si>
  <si>
    <t>II-A1-c-HCC-027(5 services hrs x75=375)</t>
  </si>
  <si>
    <t>II-A1-c-HCC-040(7.5 services hrs x75=562.5)</t>
  </si>
  <si>
    <t>II-A1-c-HCC-001(3 services hrs x75=225)</t>
  </si>
  <si>
    <t>II-A1-c-HCC-015(5 services hrs x75=375)</t>
  </si>
  <si>
    <t>II-A1-c-HCC-028(3 services hrs x75=225)</t>
  </si>
  <si>
    <t>II-A1-c-HCC-002(22 services hrs x75=1650)</t>
  </si>
  <si>
    <t>II-A1-c-HCC-016(12 services hrs x75=900)</t>
  </si>
  <si>
    <t>II-A1-c-HCC-029(3 services hrs x75=225)</t>
  </si>
  <si>
    <t>II-A1-c-HCC-003(3 services hrs x75=225)</t>
  </si>
  <si>
    <t>II-A1-c-HCC-017(12 services hrs x75=900)</t>
  </si>
  <si>
    <t>II-A1-c-HCC-030(14.5 services hrs x75=1087.5)</t>
  </si>
  <si>
    <t>II-A1-c-HCC-004(8 services hrs x75=600)</t>
  </si>
  <si>
    <t>II-A1-c-HCC-018(16 services hrs x75=1200)</t>
  </si>
  <si>
    <t>II-A1-c-HCC-031(12 services hrs x75=900)</t>
  </si>
  <si>
    <t>II-A1-c-HCC-005(5.5 services hrs x75=412.5)</t>
  </si>
  <si>
    <t>II-A1-c-HCC-019(3 services hrs x75=225)</t>
  </si>
  <si>
    <t>II-A1-c-HCC-032(14.5 services hrs x75=1087.5)</t>
  </si>
  <si>
    <t>II-A1-c-HCC-006(22 services hrs x75=1650)</t>
  </si>
  <si>
    <t>II-A1-c-HCC-020(5 services hrs x75=375)</t>
  </si>
  <si>
    <t>II-A1-c-HCC-033(7 services hrs x75=525)</t>
  </si>
  <si>
    <t>II-A1-c-HCC-007(3 services hrs x75=225)</t>
  </si>
  <si>
    <t>II-A1-c-HCC-021(7 services hrs x75=525)</t>
  </si>
  <si>
    <t>II-A1-c-HCC-034(18.5 services hrs x75=1387.5)</t>
  </si>
  <si>
    <t>II-A1-c-HCC-008(22 services hrs x75=1650)</t>
  </si>
  <si>
    <t>II-A1-c-HCC-022(5 services hrs x75=375)</t>
  </si>
  <si>
    <t>II-A1-c-HCC-035(3 services hrs x75=225)</t>
  </si>
  <si>
    <t>II-A1-c-HCC-009(6 services hrs x75=450)</t>
  </si>
  <si>
    <r>
      <t>II-A1-c-HCC-002_</t>
    </r>
    <r>
      <rPr>
        <sz val="12"/>
        <color theme="1"/>
        <rFont val="新細明體"/>
        <family val="1"/>
        <charset val="136"/>
      </rPr>
      <t>張瑞虹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_$1650</t>
    </r>
  </si>
  <si>
    <r>
      <t>II-A1-c-HCC-003_</t>
    </r>
    <r>
      <rPr>
        <sz val="12"/>
        <color theme="1"/>
        <rFont val="新細明體"/>
        <family val="1"/>
        <charset val="136"/>
      </rPr>
      <t>張瑞兒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</si>
  <si>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II-A1-c-HCC-004_</t>
    </r>
    <r>
      <rPr>
        <sz val="12"/>
        <color theme="1"/>
        <rFont val="新細明體"/>
        <family val="1"/>
        <charset val="136"/>
      </rPr>
      <t>張詠蘭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_$600</t>
    </r>
  </si>
  <si>
    <r>
      <t>II-A1-c-HCC-005_</t>
    </r>
    <r>
      <rPr>
        <sz val="12"/>
        <color theme="1"/>
        <rFont val="新細明體"/>
        <family val="1"/>
        <charset val="136"/>
      </rPr>
      <t>蔡健文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_$412.5</t>
    </r>
  </si>
  <si>
    <r>
      <t>II-A1-c-HCC-006_</t>
    </r>
    <r>
      <rPr>
        <sz val="12"/>
        <color theme="1"/>
        <rFont val="新細明體"/>
        <family val="1"/>
        <charset val="136"/>
      </rPr>
      <t>聶桂芳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_$1650</t>
    </r>
  </si>
  <si>
    <r>
      <t>II-A1-c-HCC-007_</t>
    </r>
    <r>
      <rPr>
        <sz val="12"/>
        <color theme="1"/>
        <rFont val="新細明體"/>
        <family val="1"/>
        <charset val="136"/>
      </rPr>
      <t>區黃玉琴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</si>
  <si>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II-A1-c-HCC-008_</t>
    </r>
    <r>
      <rPr>
        <sz val="12"/>
        <color theme="1"/>
        <rFont val="新細明體"/>
        <family val="1"/>
        <charset val="136"/>
      </rPr>
      <t>陳玉玲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_$1650</t>
    </r>
  </si>
  <si>
    <r>
      <t>II-A1-c-HCC-009_</t>
    </r>
    <r>
      <rPr>
        <sz val="12"/>
        <color theme="1"/>
        <rFont val="新細明體"/>
        <family val="1"/>
        <charset val="136"/>
      </rPr>
      <t>杜群芳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_$450</t>
    </r>
  </si>
  <si>
    <r>
      <t>II-A1-c-HCC-010_</t>
    </r>
    <r>
      <rPr>
        <sz val="12"/>
        <color theme="1"/>
        <rFont val="新細明體"/>
        <family val="1"/>
        <charset val="136"/>
      </rPr>
      <t>高秀珍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_$262.5</t>
    </r>
  </si>
  <si>
    <r>
      <t>II-A1-c-HCC-011_</t>
    </r>
    <r>
      <rPr>
        <sz val="12"/>
        <color theme="1"/>
        <rFont val="新細明體"/>
        <family val="1"/>
        <charset val="136"/>
      </rPr>
      <t>陳好定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_$2175</t>
    </r>
  </si>
  <si>
    <r>
      <t>II-A1-c-HCC-012_</t>
    </r>
    <r>
      <rPr>
        <sz val="12"/>
        <color theme="1"/>
        <rFont val="新細明體"/>
        <family val="1"/>
        <charset val="136"/>
      </rPr>
      <t>李嘉俊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</si>
  <si>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II-A1-c-HCC-013_</t>
    </r>
    <r>
      <rPr>
        <sz val="12"/>
        <color theme="1"/>
        <rFont val="新細明體"/>
        <family val="1"/>
        <charset val="136"/>
      </rPr>
      <t>彭錦華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_$450</t>
    </r>
  </si>
  <si>
    <r>
      <t>II-A1-c-HCC-014_</t>
    </r>
    <r>
      <rPr>
        <sz val="12"/>
        <color theme="1"/>
        <rFont val="新細明體"/>
        <family val="1"/>
        <charset val="136"/>
      </rPr>
      <t>楊耀榮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_$262.5</t>
    </r>
  </si>
  <si>
    <r>
      <t>II-A1-c-HCC-015_</t>
    </r>
    <r>
      <rPr>
        <sz val="12"/>
        <color theme="1"/>
        <rFont val="新細明體"/>
        <family val="1"/>
        <charset val="136"/>
      </rPr>
      <t>連鳳儀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_$375</t>
    </r>
  </si>
  <si>
    <r>
      <t>II-A1-c-HCC-016_</t>
    </r>
    <r>
      <rPr>
        <sz val="12"/>
        <color theme="1"/>
        <rFont val="新細明體"/>
        <family val="1"/>
        <charset val="136"/>
      </rPr>
      <t>張瑞虹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_$900</t>
    </r>
  </si>
  <si>
    <r>
      <t>II-A1-c-HCC-017_</t>
    </r>
    <r>
      <rPr>
        <sz val="12"/>
        <color theme="1"/>
        <rFont val="新細明體"/>
        <family val="1"/>
        <charset val="136"/>
      </rPr>
      <t>張瑞兒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_$900</t>
    </r>
  </si>
  <si>
    <r>
      <t>II-A1-c-HCC-019_</t>
    </r>
    <r>
      <rPr>
        <sz val="12"/>
        <color theme="1"/>
        <rFont val="新細明體"/>
        <family val="1"/>
        <charset val="136"/>
      </rPr>
      <t>蔡健文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</si>
  <si>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II-A1-c-HCC-020_</t>
    </r>
    <r>
      <rPr>
        <sz val="12"/>
        <color theme="1"/>
        <rFont val="新細明體"/>
        <family val="1"/>
        <charset val="136"/>
      </rPr>
      <t>聶桂芳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_$375</t>
    </r>
  </si>
  <si>
    <r>
      <t>II-A1-c-HCC-022_</t>
    </r>
    <r>
      <rPr>
        <sz val="12"/>
        <color theme="1"/>
        <rFont val="新細明體"/>
        <family val="1"/>
        <charset val="136"/>
      </rPr>
      <t>陳玉玲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_$375</t>
    </r>
  </si>
  <si>
    <r>
      <t>II-A1-c-HCC-024_</t>
    </r>
    <r>
      <rPr>
        <sz val="12"/>
        <color theme="1"/>
        <rFont val="新細明體"/>
        <family val="1"/>
        <charset val="136"/>
      </rPr>
      <t>陳好定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_$900</t>
    </r>
  </si>
  <si>
    <r>
      <t>II-A1-c-HCC-025_</t>
    </r>
    <r>
      <rPr>
        <sz val="12"/>
        <color theme="1"/>
        <rFont val="新細明體"/>
        <family val="1"/>
        <charset val="136"/>
      </rPr>
      <t>李嘉俊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</si>
  <si>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II-A1-c-HCC-026_</t>
    </r>
    <r>
      <rPr>
        <sz val="12"/>
        <color theme="1"/>
        <rFont val="新細明體"/>
        <family val="1"/>
        <charset val="136"/>
      </rPr>
      <t>彭錦華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_$525</t>
    </r>
  </si>
  <si>
    <r>
      <t>II-A1-c-HCC-028_</t>
    </r>
    <r>
      <rPr>
        <sz val="12"/>
        <color theme="1"/>
        <rFont val="新細明體"/>
        <family val="1"/>
        <charset val="136"/>
      </rPr>
      <t>連鳳儀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</si>
  <si>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II-A1-c-HCC-029_</t>
    </r>
    <r>
      <rPr>
        <sz val="12"/>
        <color theme="1"/>
        <rFont val="新細明體"/>
        <family val="1"/>
        <charset val="136"/>
      </rPr>
      <t>張瑞虹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</si>
  <si>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II-A1-c-HCC-030_</t>
    </r>
    <r>
      <rPr>
        <sz val="12"/>
        <color theme="1"/>
        <rFont val="新細明體"/>
        <family val="1"/>
        <charset val="136"/>
      </rPr>
      <t>張瑞兒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_$1087.5</t>
    </r>
  </si>
  <si>
    <r>
      <t>II-A1-c-HCC-031_</t>
    </r>
    <r>
      <rPr>
        <sz val="12"/>
        <color theme="1"/>
        <rFont val="新細明體"/>
        <family val="1"/>
        <charset val="136"/>
      </rPr>
      <t>張詠蘭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_$900</t>
    </r>
  </si>
  <si>
    <r>
      <t>II-A1-c-HCC-032_</t>
    </r>
    <r>
      <rPr>
        <sz val="12"/>
        <color theme="1"/>
        <rFont val="新細明體"/>
        <family val="1"/>
        <charset val="136"/>
      </rPr>
      <t>蔡健文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_$1087.5</t>
    </r>
  </si>
  <si>
    <r>
      <t>II-A1-c-HCC-033_</t>
    </r>
    <r>
      <rPr>
        <sz val="12"/>
        <color theme="1"/>
        <rFont val="新細明體"/>
        <family val="1"/>
        <charset val="136"/>
      </rPr>
      <t>聶桂芳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_$525</t>
    </r>
  </si>
  <si>
    <r>
      <t>II-A1-c-HCC-035_</t>
    </r>
    <r>
      <rPr>
        <sz val="12"/>
        <color theme="1"/>
        <rFont val="新細明體"/>
        <family val="1"/>
        <charset val="136"/>
      </rPr>
      <t>陳玉玲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</si>
  <si>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II-A1-c-HCC-036_</t>
    </r>
    <r>
      <rPr>
        <sz val="12"/>
        <color theme="1"/>
        <rFont val="新細明體"/>
        <family val="1"/>
        <charset val="136"/>
      </rPr>
      <t>高秀珍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_$300</t>
    </r>
  </si>
  <si>
    <r>
      <t>II-A1-c-HCC-039_</t>
    </r>
    <r>
      <rPr>
        <sz val="12"/>
        <color theme="1"/>
        <rFont val="新細明體"/>
        <family val="1"/>
        <charset val="136"/>
      </rPr>
      <t>彭錦華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</si>
  <si>
    <r>
      <t>II-A1-c-HCC-040_</t>
    </r>
    <r>
      <rPr>
        <sz val="12"/>
        <color theme="1"/>
        <rFont val="新細明體"/>
        <family val="1"/>
        <charset val="136"/>
      </rPr>
      <t>楊耀榮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_$562.5</t>
    </r>
  </si>
  <si>
    <r>
      <t>II-A1-c-HCC-001_</t>
    </r>
    <r>
      <rPr>
        <sz val="12"/>
        <color theme="1"/>
        <rFont val="新細明體"/>
        <family val="1"/>
        <charset val="136"/>
      </rPr>
      <t>連鳳儀</t>
    </r>
    <r>
      <rPr>
        <sz val="12"/>
        <color theme="1"/>
        <rFont val="Calibri"/>
        <family val="2"/>
      </rPr>
      <t>_1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  <phoneticPr fontId="1" type="noConversion"/>
  </si>
  <si>
    <r>
      <t>II-A1-c-HCC-018_</t>
    </r>
    <r>
      <rPr>
        <sz val="12"/>
        <color theme="1"/>
        <rFont val="新細明體"/>
        <family val="1"/>
        <charset val="136"/>
      </rPr>
      <t>張詠蘭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_$1200</t>
    </r>
    <phoneticPr fontId="1" type="noConversion"/>
  </si>
  <si>
    <r>
      <t>II-A1-c-HCC-021_</t>
    </r>
    <r>
      <rPr>
        <sz val="12"/>
        <color theme="1"/>
        <rFont val="新細明體"/>
        <family val="1"/>
        <charset val="136"/>
      </rPr>
      <t>區黃玉琴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_$525</t>
    </r>
    <phoneticPr fontId="1" type="noConversion"/>
  </si>
  <si>
    <r>
      <t>II-A1-c-HCC-023_</t>
    </r>
    <r>
      <rPr>
        <sz val="12"/>
        <color theme="1"/>
        <rFont val="新細明體"/>
        <family val="1"/>
        <charset val="136"/>
      </rPr>
      <t>高秀珍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_$562.5</t>
    </r>
    <phoneticPr fontId="1" type="noConversion"/>
  </si>
  <si>
    <r>
      <t>II-A1-c-HCC-027_</t>
    </r>
    <r>
      <rPr>
        <sz val="12"/>
        <color theme="1"/>
        <rFont val="新細明體"/>
        <family val="1"/>
        <charset val="136"/>
      </rPr>
      <t>楊耀榮</t>
    </r>
    <r>
      <rPr>
        <sz val="12"/>
        <color theme="1"/>
        <rFont val="Calibri"/>
        <family val="2"/>
      </rPr>
      <t>_2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_$375</t>
    </r>
    <phoneticPr fontId="1" type="noConversion"/>
  </si>
  <si>
    <r>
      <t>II-A1-c-HCC-034_</t>
    </r>
    <r>
      <rPr>
        <sz val="12"/>
        <color theme="1"/>
        <rFont val="新細明體"/>
        <family val="1"/>
        <charset val="136"/>
      </rPr>
      <t>區黃玉琴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_$1387.5</t>
    </r>
    <phoneticPr fontId="1" type="noConversion"/>
  </si>
  <si>
    <r>
      <t>II-A1-c-HCC-038_</t>
    </r>
    <r>
      <rPr>
        <sz val="12"/>
        <color theme="1"/>
        <rFont val="新細明體"/>
        <family val="1"/>
        <charset val="136"/>
      </rPr>
      <t>李嘉俊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_$225</t>
    </r>
    <phoneticPr fontId="1" type="noConversion"/>
  </si>
  <si>
    <r>
      <t>II-A1-c-HCC-037_</t>
    </r>
    <r>
      <rPr>
        <sz val="12"/>
        <color theme="1"/>
        <rFont val="新細明體"/>
        <family val="1"/>
        <charset val="136"/>
      </rPr>
      <t>陳好定</t>
    </r>
    <r>
      <rPr>
        <sz val="12"/>
        <color theme="1"/>
        <rFont val="Calibri"/>
        <family val="2"/>
      </rPr>
      <t>_3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Calibri"/>
        <family val="2"/>
      </rPr>
      <t>_$375</t>
    </r>
    <phoneticPr fontId="1" type="noConversion"/>
  </si>
  <si>
    <t>II-A1-c-HCC-003</t>
  </si>
  <si>
    <t>II-A1-c-HCC-004</t>
  </si>
  <si>
    <t>連鳳儀</t>
    <phoneticPr fontId="1" type="noConversion"/>
  </si>
  <si>
    <t>II-A1-c-HCC-041</t>
  </si>
  <si>
    <t>II-A1-c-HCC-042</t>
  </si>
  <si>
    <t>II-A3-a1-HCC-001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</si>
</sst>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HK$&quot;#,##0.00_);[Red]\(&quot;HK$&quot;#,##0.00\)"/>
    <numFmt numFmtId="176" formatCode="0.00_);[Red]\(0.00\)"/>
    <numFmt numFmtId="177" formatCode="0.0_);[Red]\(0.0\)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Microsoft JhengHei"/>
      <family val="2"/>
      <charset val="136"/>
    </font>
    <font>
      <sz val="9"/>
      <name val="細明體"/>
      <family val="3"/>
      <charset val="136"/>
    </font>
    <font>
      <sz val="12"/>
      <color theme="1"/>
      <name val="Arial"/>
      <family val="2"/>
    </font>
    <font>
      <b/>
      <sz val="16"/>
      <color theme="1"/>
      <name val="Microsoft JhengHei"/>
      <family val="2"/>
      <charset val="136"/>
    </font>
    <font>
      <sz val="16"/>
      <name val="Arial"/>
      <family val="2"/>
    </font>
    <font>
      <b/>
      <sz val="18"/>
      <color theme="1"/>
      <name val="Microsoft JhengHei"/>
      <family val="2"/>
      <charset val="136"/>
    </font>
    <font>
      <sz val="12"/>
      <color theme="1"/>
      <name val="Times New Roman"/>
      <family val="2"/>
    </font>
    <font>
      <sz val="9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000000"/>
      <name val="PMingLiu"/>
      <family val="1"/>
    </font>
    <font>
      <b/>
      <sz val="20"/>
      <color theme="1"/>
      <name val="新細明體"/>
      <family val="1"/>
      <charset val="136"/>
      <scheme val="minor"/>
    </font>
    <font>
      <sz val="30"/>
      <color theme="1"/>
      <name val="新細明體"/>
      <family val="2"/>
      <charset val="136"/>
      <scheme val="minor"/>
    </font>
    <font>
      <sz val="3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8" fillId="0" borderId="0"/>
  </cellStyleXfs>
  <cellXfs count="1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8" fontId="0" fillId="0" borderId="1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5" fillId="0" borderId="4" xfId="1" applyNumberFormat="1" applyFont="1" applyBorder="1" applyAlignment="1">
      <alignment horizontal="center" vertical="center"/>
    </xf>
    <xf numFmtId="20" fontId="5" fillId="0" borderId="5" xfId="1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0" fontId="5" fillId="0" borderId="7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0" fontId="5" fillId="0" borderId="17" xfId="1" applyNumberFormat="1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0" fontId="5" fillId="0" borderId="22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20" fontId="5" fillId="0" borderId="25" xfId="1" applyNumberFormat="1" applyFont="1" applyBorder="1" applyAlignment="1">
      <alignment horizontal="center" vertical="center"/>
    </xf>
    <xf numFmtId="20" fontId="5" fillId="0" borderId="20" xfId="1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8" fontId="0" fillId="3" borderId="1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8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>
      <alignment vertical="center"/>
    </xf>
    <xf numFmtId="0" fontId="10" fillId="3" borderId="1" xfId="0" applyFont="1" applyFill="1" applyBorder="1" applyAlignment="1">
      <alignment horizontal="center" vertical="center"/>
    </xf>
    <xf numFmtId="8" fontId="10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>
      <alignment vertical="center"/>
    </xf>
    <xf numFmtId="0" fontId="10" fillId="0" borderId="0" xfId="0" applyFont="1">
      <alignment vertical="center"/>
    </xf>
    <xf numFmtId="176" fontId="10" fillId="3" borderId="1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8" fontId="14" fillId="0" borderId="1" xfId="0" applyNumberFormat="1" applyFont="1" applyBorder="1" applyAlignment="1">
      <alignment horizontal="center" vertical="center"/>
    </xf>
    <xf numFmtId="8" fontId="15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2" fillId="0" borderId="1" xfId="0" applyFont="1" applyBorder="1">
      <alignment vertical="center"/>
    </xf>
    <xf numFmtId="176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8" fontId="1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8" fontId="0" fillId="4" borderId="1" xfId="0" applyNumberFormat="1" applyFill="1" applyBorder="1" applyAlignment="1">
      <alignment horizontal="center" vertical="center"/>
    </xf>
    <xf numFmtId="0" fontId="0" fillId="4" borderId="0" xfId="0" applyFill="1">
      <alignment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8" fontId="0" fillId="4" borderId="1" xfId="0" applyNumberFormat="1" applyFont="1" applyFill="1" applyBorder="1" applyAlignment="1">
      <alignment horizontal="center" vertical="center"/>
    </xf>
    <xf numFmtId="8" fontId="0" fillId="0" borderId="0" xfId="0" applyNumberFormat="1">
      <alignment vertical="center"/>
    </xf>
    <xf numFmtId="0" fontId="12" fillId="2" borderId="1" xfId="0" applyFont="1" applyFill="1" applyBorder="1">
      <alignment vertical="center"/>
    </xf>
    <xf numFmtId="0" fontId="12" fillId="2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12" fillId="7" borderId="1" xfId="0" applyFont="1" applyFill="1" applyBorder="1">
      <alignment vertical="center"/>
    </xf>
    <xf numFmtId="0" fontId="0" fillId="7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11" fillId="5" borderId="26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3">
    <cellStyle name="Normal 3 2" xfId="2" xr:uid="{B70864D4-6DF1-40E0-BEE8-65CDA74D4447}"/>
    <cellStyle name="一般" xfId="0" builtinId="0"/>
    <cellStyle name="一般 2" xfId="1" xr:uid="{85DEA5BD-4DB6-486A-B84D-CA2C53F0EEB1}"/>
  </cellStyles>
  <dxfs count="0"/>
  <tableStyles count="2" defaultTableStyle="TableStyleMedium2" defaultPivotStyle="PivotStyleLight16">
    <tableStyle name="表格樣式 1" pivot="0" count="0" xr9:uid="{D2D7F28C-464A-4624-8778-2200E905F2D3}"/>
    <tableStyle name="表格樣式 2" pivot="0" count="0" xr9:uid="{D09F0481-0F5F-4A39-B5BF-CF3F62EF7A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DB55-D9A2-4782-8D84-E250947146EA}">
  <dimension ref="A1:X83"/>
  <sheetViews>
    <sheetView topLeftCell="A18" zoomScale="60" zoomScaleNormal="60" workbookViewId="0">
      <selection activeCell="R39" sqref="R39:R41"/>
    </sheetView>
  </sheetViews>
  <sheetFormatPr defaultRowHeight="16.2"/>
  <cols>
    <col min="1" max="1" width="16.5546875" customWidth="1"/>
    <col min="2" max="3" width="11.109375" style="1" customWidth="1"/>
    <col min="4" max="5" width="10.88671875" style="1" customWidth="1"/>
    <col min="6" max="6" width="16.109375" style="1" customWidth="1"/>
    <col min="7" max="7" width="1.33203125" style="1" customWidth="1"/>
    <col min="8" max="9" width="12.6640625" style="1" customWidth="1"/>
    <col min="10" max="10" width="12.33203125" style="1" customWidth="1"/>
    <col min="11" max="11" width="14.5546875" style="1" customWidth="1"/>
    <col min="12" max="12" width="18.77734375" style="1" customWidth="1"/>
    <col min="13" max="13" width="1.33203125" customWidth="1"/>
    <col min="14" max="17" width="14.5546875" customWidth="1"/>
    <col min="18" max="18" width="18" customWidth="1"/>
    <col min="19" max="19" width="1.88671875" customWidth="1"/>
    <col min="20" max="23" width="14.5546875" customWidth="1"/>
    <col min="24" max="24" width="20.44140625" customWidth="1"/>
  </cols>
  <sheetData>
    <row r="1" spans="1:24" ht="31.8" customHeight="1">
      <c r="B1" s="43" t="s">
        <v>85</v>
      </c>
      <c r="C1" s="43" t="s">
        <v>86</v>
      </c>
      <c r="D1" s="43" t="s">
        <v>48</v>
      </c>
      <c r="E1" s="43" t="s">
        <v>84</v>
      </c>
      <c r="F1" s="43" t="s">
        <v>82</v>
      </c>
      <c r="G1" s="5"/>
      <c r="H1" s="5"/>
      <c r="I1" s="5"/>
      <c r="K1" s="1" t="s">
        <v>113</v>
      </c>
      <c r="L1" s="1">
        <v>100000</v>
      </c>
    </row>
    <row r="2" spans="1:24" ht="31.8" customHeight="1">
      <c r="A2" s="2" t="s">
        <v>140</v>
      </c>
      <c r="B2" s="44">
        <f>T24</f>
        <v>175.5</v>
      </c>
      <c r="C2" s="44">
        <f>U24</f>
        <v>161.5</v>
      </c>
      <c r="D2" s="44">
        <f>V24</f>
        <v>337</v>
      </c>
      <c r="E2" s="44">
        <f>W24</f>
        <v>0</v>
      </c>
      <c r="F2" s="3">
        <f>D2*75</f>
        <v>25275</v>
      </c>
      <c r="G2" s="5"/>
      <c r="H2" s="5"/>
      <c r="I2" s="5"/>
      <c r="K2" s="1" t="s">
        <v>114</v>
      </c>
      <c r="L2" s="56">
        <f>F3+F2+F4+F5</f>
        <v>25275</v>
      </c>
    </row>
    <row r="3" spans="1:24" ht="31.8" customHeight="1">
      <c r="A3" s="2" t="s">
        <v>145</v>
      </c>
      <c r="B3" s="44"/>
      <c r="C3" s="44"/>
      <c r="D3" s="44"/>
      <c r="E3" s="3"/>
      <c r="F3" s="44"/>
      <c r="G3" s="4"/>
      <c r="H3" s="4"/>
      <c r="I3" s="4"/>
      <c r="J3" s="4"/>
      <c r="K3" s="4" t="s">
        <v>115</v>
      </c>
      <c r="L3" s="56">
        <f>L1-L2</f>
        <v>74725</v>
      </c>
    </row>
    <row r="4" spans="1:24" ht="31.8" customHeight="1">
      <c r="A4" s="2" t="s">
        <v>147</v>
      </c>
      <c r="B4" s="33"/>
      <c r="C4" s="33"/>
      <c r="D4" s="33"/>
      <c r="E4" s="33"/>
      <c r="F4" s="33"/>
      <c r="K4" s="1" t="s">
        <v>116</v>
      </c>
      <c r="L4" s="1">
        <f>L3/2</f>
        <v>37362.5</v>
      </c>
    </row>
    <row r="5" spans="1:24" ht="31.8" customHeight="1">
      <c r="A5" s="2" t="s">
        <v>149</v>
      </c>
      <c r="B5" s="33"/>
      <c r="C5" s="33"/>
      <c r="D5" s="33"/>
      <c r="E5" s="33"/>
      <c r="F5" s="33"/>
    </row>
    <row r="6" spans="1:24" ht="31.8" customHeight="1">
      <c r="A6" s="97"/>
      <c r="B6" s="33"/>
      <c r="C6" s="33"/>
      <c r="D6" s="33"/>
      <c r="E6" s="33"/>
      <c r="F6" s="33"/>
      <c r="G6" s="65"/>
      <c r="H6" s="65"/>
      <c r="I6" s="65"/>
      <c r="J6" s="65"/>
      <c r="K6" s="65"/>
      <c r="L6" s="65"/>
    </row>
    <row r="7" spans="1:24">
      <c r="A7" s="36"/>
      <c r="B7" s="118" t="s">
        <v>141</v>
      </c>
      <c r="C7" s="118"/>
      <c r="D7" s="118"/>
      <c r="E7" s="118"/>
      <c r="F7" s="118"/>
      <c r="G7" s="95"/>
      <c r="H7" s="115" t="s">
        <v>142</v>
      </c>
      <c r="I7" s="116"/>
      <c r="J7" s="116"/>
      <c r="K7" s="116"/>
      <c r="L7" s="117"/>
      <c r="M7" s="34"/>
      <c r="N7" s="115" t="s">
        <v>143</v>
      </c>
      <c r="O7" s="116"/>
      <c r="P7" s="116"/>
      <c r="Q7" s="116"/>
      <c r="R7" s="117"/>
      <c r="T7" s="115" t="s">
        <v>144</v>
      </c>
      <c r="U7" s="116"/>
      <c r="V7" s="116"/>
      <c r="W7" s="116"/>
      <c r="X7" s="117"/>
    </row>
    <row r="8" spans="1:24">
      <c r="A8" s="36"/>
      <c r="B8" s="95" t="s">
        <v>12</v>
      </c>
      <c r="C8" s="95" t="s">
        <v>86</v>
      </c>
      <c r="D8" s="95" t="s">
        <v>48</v>
      </c>
      <c r="E8" s="95" t="s">
        <v>84</v>
      </c>
      <c r="F8" s="95" t="s">
        <v>82</v>
      </c>
      <c r="G8" s="95"/>
      <c r="H8" s="95" t="s">
        <v>12</v>
      </c>
      <c r="I8" s="95" t="s">
        <v>86</v>
      </c>
      <c r="J8" s="95" t="s">
        <v>48</v>
      </c>
      <c r="K8" s="95" t="s">
        <v>84</v>
      </c>
      <c r="L8" s="95" t="s">
        <v>13</v>
      </c>
      <c r="M8" s="34"/>
      <c r="N8" s="95" t="s">
        <v>12</v>
      </c>
      <c r="O8" s="95" t="s">
        <v>86</v>
      </c>
      <c r="P8" s="95" t="s">
        <v>48</v>
      </c>
      <c r="Q8" s="95" t="s">
        <v>84</v>
      </c>
      <c r="R8" s="95" t="s">
        <v>13</v>
      </c>
      <c r="T8" s="95" t="s">
        <v>12</v>
      </c>
      <c r="U8" s="95" t="s">
        <v>86</v>
      </c>
      <c r="V8" s="95" t="s">
        <v>48</v>
      </c>
      <c r="W8" s="95" t="s">
        <v>84</v>
      </c>
      <c r="X8" s="95" t="s">
        <v>13</v>
      </c>
    </row>
    <row r="9" spans="1:24" ht="18.600000000000001" customHeight="1">
      <c r="A9" s="36" t="s">
        <v>0</v>
      </c>
      <c r="B9" s="95">
        <v>0</v>
      </c>
      <c r="C9" s="95">
        <v>3</v>
      </c>
      <c r="D9" s="95">
        <f>B9+C9</f>
        <v>3</v>
      </c>
      <c r="E9" s="95">
        <v>0</v>
      </c>
      <c r="F9" s="37">
        <f>D9*75</f>
        <v>225</v>
      </c>
      <c r="G9" s="37"/>
      <c r="H9" s="42">
        <v>2</v>
      </c>
      <c r="I9" s="42">
        <v>3</v>
      </c>
      <c r="J9" s="42">
        <f>H9+I9</f>
        <v>5</v>
      </c>
      <c r="K9" s="95">
        <v>0</v>
      </c>
      <c r="L9" s="37">
        <f t="shared" ref="L9:L15" si="0">J9*75</f>
        <v>375</v>
      </c>
      <c r="M9" s="34"/>
      <c r="N9" s="42">
        <v>0</v>
      </c>
      <c r="O9" s="42">
        <v>3</v>
      </c>
      <c r="P9" s="42">
        <f>N9+O9</f>
        <v>3</v>
      </c>
      <c r="Q9" s="95">
        <v>0</v>
      </c>
      <c r="R9" s="37">
        <f>P9*75</f>
        <v>225</v>
      </c>
      <c r="T9" s="42">
        <f>B9+H9+N9</f>
        <v>2</v>
      </c>
      <c r="U9" s="42">
        <f t="shared" ref="U9:U22" si="1">C9+I9+O9</f>
        <v>9</v>
      </c>
      <c r="V9" s="42">
        <f t="shared" ref="V9:V22" si="2">D9+J9+P9</f>
        <v>11</v>
      </c>
      <c r="W9" s="42">
        <f t="shared" ref="W9:W20" si="3">E9+K9+Q9</f>
        <v>0</v>
      </c>
      <c r="X9" s="42">
        <f t="shared" ref="X9:X15" si="4">F9+L9+R9</f>
        <v>825</v>
      </c>
    </row>
    <row r="10" spans="1:24" ht="18.600000000000001" customHeight="1">
      <c r="A10" s="36" t="s">
        <v>1</v>
      </c>
      <c r="B10" s="95">
        <v>15</v>
      </c>
      <c r="C10" s="95">
        <v>7</v>
      </c>
      <c r="D10" s="100">
        <f t="shared" ref="D10:D22" si="5">B10+C10</f>
        <v>22</v>
      </c>
      <c r="E10" s="95">
        <v>0</v>
      </c>
      <c r="F10" s="37">
        <f t="shared" ref="F10:F11" si="6">D10*75</f>
        <v>1650</v>
      </c>
      <c r="G10" s="37"/>
      <c r="H10" s="42">
        <v>6</v>
      </c>
      <c r="I10" s="42">
        <v>6</v>
      </c>
      <c r="J10" s="42">
        <f t="shared" ref="J10:J22" si="7">H10+I10</f>
        <v>12</v>
      </c>
      <c r="K10" s="95">
        <v>0</v>
      </c>
      <c r="L10" s="37">
        <f t="shared" si="0"/>
        <v>900</v>
      </c>
      <c r="M10" s="34"/>
      <c r="N10" s="42">
        <v>0</v>
      </c>
      <c r="O10" s="42">
        <v>3</v>
      </c>
      <c r="P10" s="42">
        <f t="shared" ref="P10:P22" si="8">N10+O10</f>
        <v>3</v>
      </c>
      <c r="Q10" s="95">
        <v>0</v>
      </c>
      <c r="R10" s="37">
        <f t="shared" ref="R10:R15" si="9">P10*75</f>
        <v>225</v>
      </c>
      <c r="T10" s="42">
        <f t="shared" ref="T10:T22" si="10">B10+H10+N10</f>
        <v>21</v>
      </c>
      <c r="U10" s="42">
        <f t="shared" si="1"/>
        <v>16</v>
      </c>
      <c r="V10" s="42">
        <f t="shared" si="2"/>
        <v>37</v>
      </c>
      <c r="W10" s="42">
        <f t="shared" si="3"/>
        <v>0</v>
      </c>
      <c r="X10" s="42">
        <f t="shared" si="4"/>
        <v>2775</v>
      </c>
    </row>
    <row r="11" spans="1:24" ht="18.600000000000001" customHeight="1">
      <c r="A11" s="36" t="s">
        <v>2</v>
      </c>
      <c r="B11" s="95">
        <v>0</v>
      </c>
      <c r="C11" s="95">
        <v>3</v>
      </c>
      <c r="D11" s="100">
        <f t="shared" si="5"/>
        <v>3</v>
      </c>
      <c r="E11" s="95">
        <v>0</v>
      </c>
      <c r="F11" s="37">
        <f t="shared" si="6"/>
        <v>225</v>
      </c>
      <c r="G11" s="37"/>
      <c r="H11" s="42">
        <v>6</v>
      </c>
      <c r="I11" s="42">
        <v>6</v>
      </c>
      <c r="J11" s="42">
        <f t="shared" si="7"/>
        <v>12</v>
      </c>
      <c r="K11" s="95">
        <v>0</v>
      </c>
      <c r="L11" s="37">
        <f t="shared" si="0"/>
        <v>900</v>
      </c>
      <c r="M11" s="34"/>
      <c r="N11" s="42">
        <v>6</v>
      </c>
      <c r="O11" s="42">
        <v>8.5</v>
      </c>
      <c r="P11" s="42">
        <f t="shared" si="8"/>
        <v>14.5</v>
      </c>
      <c r="Q11" s="95">
        <v>0</v>
      </c>
      <c r="R11" s="37">
        <f t="shared" si="9"/>
        <v>1087.5</v>
      </c>
      <c r="T11" s="42">
        <f t="shared" si="10"/>
        <v>12</v>
      </c>
      <c r="U11" s="42">
        <f t="shared" si="1"/>
        <v>17.5</v>
      </c>
      <c r="V11" s="42">
        <f t="shared" si="2"/>
        <v>29.5</v>
      </c>
      <c r="W11" s="42">
        <f t="shared" si="3"/>
        <v>0</v>
      </c>
      <c r="X11" s="42">
        <f t="shared" si="4"/>
        <v>2212.5</v>
      </c>
    </row>
    <row r="12" spans="1:24" ht="18.600000000000001" customHeight="1">
      <c r="A12" s="36" t="s">
        <v>3</v>
      </c>
      <c r="B12" s="95">
        <v>5</v>
      </c>
      <c r="C12" s="95">
        <v>3</v>
      </c>
      <c r="D12" s="100">
        <f>B12+C12</f>
        <v>8</v>
      </c>
      <c r="E12" s="95">
        <v>0</v>
      </c>
      <c r="F12" s="37">
        <f>D12*75</f>
        <v>600</v>
      </c>
      <c r="G12" s="37"/>
      <c r="H12" s="42">
        <v>10</v>
      </c>
      <c r="I12" s="42">
        <v>6</v>
      </c>
      <c r="J12" s="42">
        <f t="shared" si="7"/>
        <v>16</v>
      </c>
      <c r="K12" s="95">
        <v>0</v>
      </c>
      <c r="L12" s="37">
        <f t="shared" si="0"/>
        <v>1200</v>
      </c>
      <c r="M12" s="34"/>
      <c r="N12" s="42">
        <v>9</v>
      </c>
      <c r="O12" s="42">
        <v>3</v>
      </c>
      <c r="P12" s="42">
        <f t="shared" si="8"/>
        <v>12</v>
      </c>
      <c r="Q12" s="95">
        <v>0</v>
      </c>
      <c r="R12" s="37">
        <f t="shared" si="9"/>
        <v>900</v>
      </c>
      <c r="T12" s="42">
        <f t="shared" si="10"/>
        <v>24</v>
      </c>
      <c r="U12" s="42">
        <f t="shared" si="1"/>
        <v>12</v>
      </c>
      <c r="V12" s="42">
        <f t="shared" si="2"/>
        <v>36</v>
      </c>
      <c r="W12" s="42">
        <f t="shared" si="3"/>
        <v>0</v>
      </c>
      <c r="X12" s="42">
        <f t="shared" si="4"/>
        <v>2700</v>
      </c>
    </row>
    <row r="13" spans="1:24" ht="18.600000000000001" customHeight="1">
      <c r="A13" s="36" t="s">
        <v>4</v>
      </c>
      <c r="B13" s="95">
        <v>2.5</v>
      </c>
      <c r="C13" s="95">
        <v>3</v>
      </c>
      <c r="D13" s="100">
        <f t="shared" si="5"/>
        <v>5.5</v>
      </c>
      <c r="E13" s="95">
        <v>0</v>
      </c>
      <c r="F13" s="37">
        <f t="shared" ref="F13:F15" si="11">D13*75</f>
        <v>412.5</v>
      </c>
      <c r="G13" s="37"/>
      <c r="H13" s="42">
        <v>3</v>
      </c>
      <c r="I13" s="42">
        <v>0</v>
      </c>
      <c r="J13" s="42">
        <f t="shared" si="7"/>
        <v>3</v>
      </c>
      <c r="K13" s="95">
        <v>0</v>
      </c>
      <c r="L13" s="37">
        <f t="shared" si="0"/>
        <v>225</v>
      </c>
      <c r="M13" s="34"/>
      <c r="N13" s="42">
        <v>6</v>
      </c>
      <c r="O13" s="42">
        <v>8.5</v>
      </c>
      <c r="P13" s="42">
        <f t="shared" si="8"/>
        <v>14.5</v>
      </c>
      <c r="Q13" s="95">
        <v>0</v>
      </c>
      <c r="R13" s="37">
        <f t="shared" si="9"/>
        <v>1087.5</v>
      </c>
      <c r="T13" s="42">
        <f t="shared" si="10"/>
        <v>11.5</v>
      </c>
      <c r="U13" s="42">
        <f t="shared" si="1"/>
        <v>11.5</v>
      </c>
      <c r="V13" s="42">
        <f t="shared" si="2"/>
        <v>23</v>
      </c>
      <c r="W13" s="42">
        <f t="shared" si="3"/>
        <v>0</v>
      </c>
      <c r="X13" s="42">
        <f t="shared" si="4"/>
        <v>1725</v>
      </c>
    </row>
    <row r="14" spans="1:24" ht="18.600000000000001" customHeight="1">
      <c r="A14" s="36" t="s">
        <v>5</v>
      </c>
      <c r="B14" s="95">
        <v>15</v>
      </c>
      <c r="C14" s="95">
        <v>7</v>
      </c>
      <c r="D14" s="100">
        <f t="shared" si="5"/>
        <v>22</v>
      </c>
      <c r="E14" s="95">
        <v>0</v>
      </c>
      <c r="F14" s="37">
        <f t="shared" si="11"/>
        <v>1650</v>
      </c>
      <c r="G14" s="37"/>
      <c r="H14" s="42">
        <v>2</v>
      </c>
      <c r="I14" s="42">
        <v>3</v>
      </c>
      <c r="J14" s="42">
        <f t="shared" si="7"/>
        <v>5</v>
      </c>
      <c r="K14" s="95">
        <v>0</v>
      </c>
      <c r="L14" s="37">
        <f t="shared" si="0"/>
        <v>375</v>
      </c>
      <c r="M14" s="34"/>
      <c r="N14" s="42">
        <v>4</v>
      </c>
      <c r="O14" s="42">
        <v>3</v>
      </c>
      <c r="P14" s="42">
        <f t="shared" si="8"/>
        <v>7</v>
      </c>
      <c r="Q14" s="95">
        <v>0</v>
      </c>
      <c r="R14" s="37">
        <f t="shared" si="9"/>
        <v>525</v>
      </c>
      <c r="T14" s="42">
        <f t="shared" si="10"/>
        <v>21</v>
      </c>
      <c r="U14" s="42">
        <f t="shared" si="1"/>
        <v>13</v>
      </c>
      <c r="V14" s="42">
        <f t="shared" si="2"/>
        <v>34</v>
      </c>
      <c r="W14" s="42">
        <f t="shared" si="3"/>
        <v>0</v>
      </c>
      <c r="X14" s="42">
        <f t="shared" si="4"/>
        <v>2550</v>
      </c>
    </row>
    <row r="15" spans="1:24" ht="18.600000000000001" customHeight="1">
      <c r="A15" s="36" t="s">
        <v>6</v>
      </c>
      <c r="B15" s="95">
        <v>0</v>
      </c>
      <c r="C15" s="95">
        <v>3</v>
      </c>
      <c r="D15" s="100">
        <f t="shared" si="5"/>
        <v>3</v>
      </c>
      <c r="E15" s="95">
        <v>0</v>
      </c>
      <c r="F15" s="37">
        <f t="shared" si="11"/>
        <v>225</v>
      </c>
      <c r="G15" s="37"/>
      <c r="H15" s="42">
        <v>4</v>
      </c>
      <c r="I15" s="42">
        <v>3</v>
      </c>
      <c r="J15" s="42">
        <f t="shared" si="7"/>
        <v>7</v>
      </c>
      <c r="K15" s="95">
        <v>0</v>
      </c>
      <c r="L15" s="37">
        <f t="shared" si="0"/>
        <v>525</v>
      </c>
      <c r="M15" s="34"/>
      <c r="N15" s="42">
        <v>10</v>
      </c>
      <c r="O15" s="42">
        <v>8.5</v>
      </c>
      <c r="P15" s="42">
        <f t="shared" si="8"/>
        <v>18.5</v>
      </c>
      <c r="Q15" s="95">
        <v>0</v>
      </c>
      <c r="R15" s="37">
        <f t="shared" si="9"/>
        <v>1387.5</v>
      </c>
      <c r="T15" s="42">
        <f t="shared" si="10"/>
        <v>14</v>
      </c>
      <c r="U15" s="42">
        <f t="shared" si="1"/>
        <v>14.5</v>
      </c>
      <c r="V15" s="42">
        <f t="shared" si="2"/>
        <v>28.5</v>
      </c>
      <c r="W15" s="42">
        <f t="shared" si="3"/>
        <v>0</v>
      </c>
      <c r="X15" s="42">
        <f t="shared" si="4"/>
        <v>2137.5</v>
      </c>
    </row>
    <row r="16" spans="1:24" ht="18.600000000000001" customHeight="1">
      <c r="A16" s="36" t="s">
        <v>7</v>
      </c>
      <c r="B16" s="95">
        <v>15</v>
      </c>
      <c r="C16" s="95">
        <v>7</v>
      </c>
      <c r="D16" s="100">
        <f t="shared" si="5"/>
        <v>22</v>
      </c>
      <c r="E16" s="95">
        <v>0</v>
      </c>
      <c r="F16" s="37">
        <f>D16*75</f>
        <v>1650</v>
      </c>
      <c r="G16" s="37"/>
      <c r="H16" s="42">
        <v>2</v>
      </c>
      <c r="I16" s="42">
        <v>3</v>
      </c>
      <c r="J16" s="42">
        <f t="shared" si="7"/>
        <v>5</v>
      </c>
      <c r="K16" s="95">
        <v>0</v>
      </c>
      <c r="L16" s="37">
        <f>J16*75</f>
        <v>375</v>
      </c>
      <c r="M16" s="34"/>
      <c r="N16" s="42">
        <v>0</v>
      </c>
      <c r="O16" s="42">
        <v>3</v>
      </c>
      <c r="P16" s="42">
        <f t="shared" si="8"/>
        <v>3</v>
      </c>
      <c r="Q16" s="95">
        <v>0</v>
      </c>
      <c r="R16" s="37">
        <f>P16*75</f>
        <v>225</v>
      </c>
      <c r="T16" s="42">
        <f t="shared" si="10"/>
        <v>17</v>
      </c>
      <c r="U16" s="42">
        <f t="shared" si="1"/>
        <v>13</v>
      </c>
      <c r="V16" s="42">
        <f t="shared" si="2"/>
        <v>30</v>
      </c>
      <c r="W16" s="42">
        <f t="shared" si="3"/>
        <v>0</v>
      </c>
      <c r="X16" s="42">
        <f>F16+L16+R16</f>
        <v>2250</v>
      </c>
    </row>
    <row r="17" spans="1:24" ht="18.600000000000001" customHeight="1">
      <c r="A17" s="36" t="s">
        <v>8</v>
      </c>
      <c r="B17" s="95">
        <v>3</v>
      </c>
      <c r="C17" s="95">
        <v>3</v>
      </c>
      <c r="D17" s="100">
        <f t="shared" si="5"/>
        <v>6</v>
      </c>
      <c r="E17" s="95">
        <v>0</v>
      </c>
      <c r="F17" s="37">
        <f t="shared" ref="F17:F19" si="12">D17*75</f>
        <v>450</v>
      </c>
      <c r="G17" s="37"/>
      <c r="H17" s="42">
        <v>0</v>
      </c>
      <c r="I17" s="42">
        <v>0</v>
      </c>
      <c r="J17" s="42">
        <f t="shared" si="7"/>
        <v>0</v>
      </c>
      <c r="K17" s="95">
        <v>0</v>
      </c>
      <c r="L17" s="37">
        <f t="shared" ref="L17:L22" si="13">J17*75</f>
        <v>0</v>
      </c>
      <c r="M17" s="34"/>
      <c r="N17" s="42">
        <v>0</v>
      </c>
      <c r="O17" s="42">
        <v>0</v>
      </c>
      <c r="P17" s="42">
        <f t="shared" si="8"/>
        <v>0</v>
      </c>
      <c r="Q17" s="95">
        <v>0</v>
      </c>
      <c r="R17" s="37">
        <f t="shared" ref="R17:R22" si="14">P17*75</f>
        <v>0</v>
      </c>
      <c r="T17" s="42">
        <f t="shared" si="10"/>
        <v>3</v>
      </c>
      <c r="U17" s="42">
        <f t="shared" si="1"/>
        <v>3</v>
      </c>
      <c r="V17" s="42">
        <f t="shared" si="2"/>
        <v>6</v>
      </c>
      <c r="W17" s="42">
        <f t="shared" si="3"/>
        <v>0</v>
      </c>
      <c r="X17" s="42">
        <f t="shared" ref="X17:X19" si="15">F17+L17+R17</f>
        <v>450</v>
      </c>
    </row>
    <row r="18" spans="1:24" ht="18.600000000000001" customHeight="1">
      <c r="A18" s="36" t="s">
        <v>9</v>
      </c>
      <c r="B18" s="95">
        <v>0.5</v>
      </c>
      <c r="C18" s="95">
        <v>3</v>
      </c>
      <c r="D18" s="100">
        <f t="shared" si="5"/>
        <v>3.5</v>
      </c>
      <c r="E18" s="95">
        <v>0</v>
      </c>
      <c r="F18" s="37">
        <f t="shared" si="12"/>
        <v>262.5</v>
      </c>
      <c r="G18" s="37"/>
      <c r="H18" s="42">
        <v>4.5</v>
      </c>
      <c r="I18" s="42">
        <v>3</v>
      </c>
      <c r="J18" s="42">
        <f t="shared" si="7"/>
        <v>7.5</v>
      </c>
      <c r="K18" s="95">
        <v>0</v>
      </c>
      <c r="L18" s="37">
        <f t="shared" si="13"/>
        <v>562.5</v>
      </c>
      <c r="M18" s="34"/>
      <c r="N18" s="42">
        <v>1</v>
      </c>
      <c r="O18" s="42">
        <v>3</v>
      </c>
      <c r="P18" s="42">
        <f t="shared" si="8"/>
        <v>4</v>
      </c>
      <c r="Q18" s="95">
        <v>0</v>
      </c>
      <c r="R18" s="37">
        <f t="shared" si="14"/>
        <v>300</v>
      </c>
      <c r="T18" s="42">
        <f t="shared" si="10"/>
        <v>6</v>
      </c>
      <c r="U18" s="42">
        <f t="shared" si="1"/>
        <v>9</v>
      </c>
      <c r="V18" s="42">
        <f t="shared" si="2"/>
        <v>15</v>
      </c>
      <c r="W18" s="42">
        <f t="shared" si="3"/>
        <v>0</v>
      </c>
      <c r="X18" s="42">
        <f t="shared" si="15"/>
        <v>1125</v>
      </c>
    </row>
    <row r="19" spans="1:24" ht="18.600000000000001" customHeight="1">
      <c r="A19" s="36" t="s">
        <v>10</v>
      </c>
      <c r="B19" s="95">
        <v>22</v>
      </c>
      <c r="C19" s="95">
        <v>7</v>
      </c>
      <c r="D19" s="100">
        <f t="shared" si="5"/>
        <v>29</v>
      </c>
      <c r="E19" s="95">
        <v>0</v>
      </c>
      <c r="F19" s="37">
        <f t="shared" si="12"/>
        <v>2175</v>
      </c>
      <c r="G19" s="37"/>
      <c r="H19" s="42">
        <v>6</v>
      </c>
      <c r="I19" s="42">
        <v>6</v>
      </c>
      <c r="J19" s="42">
        <f t="shared" si="7"/>
        <v>12</v>
      </c>
      <c r="K19" s="95">
        <v>0</v>
      </c>
      <c r="L19" s="37">
        <f t="shared" si="13"/>
        <v>900</v>
      </c>
      <c r="M19" s="34"/>
      <c r="N19" s="42">
        <v>2</v>
      </c>
      <c r="O19" s="42">
        <v>3</v>
      </c>
      <c r="P19" s="42">
        <f t="shared" si="8"/>
        <v>5</v>
      </c>
      <c r="Q19" s="95">
        <v>0</v>
      </c>
      <c r="R19" s="37">
        <f t="shared" si="14"/>
        <v>375</v>
      </c>
      <c r="T19" s="42">
        <f t="shared" si="10"/>
        <v>30</v>
      </c>
      <c r="U19" s="42">
        <f t="shared" si="1"/>
        <v>16</v>
      </c>
      <c r="V19" s="42">
        <f t="shared" si="2"/>
        <v>46</v>
      </c>
      <c r="W19" s="42">
        <f t="shared" si="3"/>
        <v>0</v>
      </c>
      <c r="X19" s="42">
        <f t="shared" si="15"/>
        <v>3450</v>
      </c>
    </row>
    <row r="20" spans="1:24" ht="18.600000000000001" customHeight="1">
      <c r="A20" s="36" t="s">
        <v>11</v>
      </c>
      <c r="B20" s="95">
        <v>0</v>
      </c>
      <c r="C20" s="95">
        <v>3</v>
      </c>
      <c r="D20" s="100">
        <f t="shared" si="5"/>
        <v>3</v>
      </c>
      <c r="E20" s="95">
        <v>0</v>
      </c>
      <c r="F20" s="37">
        <f>D20*75</f>
        <v>225</v>
      </c>
      <c r="G20" s="37"/>
      <c r="H20" s="42">
        <v>0</v>
      </c>
      <c r="I20" s="42">
        <v>3</v>
      </c>
      <c r="J20" s="42">
        <f t="shared" si="7"/>
        <v>3</v>
      </c>
      <c r="K20" s="95">
        <v>0</v>
      </c>
      <c r="L20" s="37">
        <f t="shared" si="13"/>
        <v>225</v>
      </c>
      <c r="M20" s="34"/>
      <c r="N20" s="42">
        <v>0</v>
      </c>
      <c r="O20" s="42">
        <v>3</v>
      </c>
      <c r="P20" s="42">
        <f t="shared" si="8"/>
        <v>3</v>
      </c>
      <c r="Q20" s="95">
        <v>0</v>
      </c>
      <c r="R20" s="37">
        <f t="shared" si="14"/>
        <v>225</v>
      </c>
      <c r="T20" s="42">
        <f t="shared" si="10"/>
        <v>0</v>
      </c>
      <c r="U20" s="42">
        <f t="shared" si="1"/>
        <v>9</v>
      </c>
      <c r="V20" s="42">
        <f t="shared" si="2"/>
        <v>9</v>
      </c>
      <c r="W20" s="42">
        <f t="shared" si="3"/>
        <v>0</v>
      </c>
      <c r="X20" s="42">
        <f>F20+L20+R20</f>
        <v>675</v>
      </c>
    </row>
    <row r="21" spans="1:24" ht="18.600000000000001" customHeight="1">
      <c r="A21" s="36" t="s">
        <v>126</v>
      </c>
      <c r="B21" s="98">
        <v>3</v>
      </c>
      <c r="C21" s="98">
        <v>3</v>
      </c>
      <c r="D21" s="100">
        <f t="shared" si="5"/>
        <v>6</v>
      </c>
      <c r="E21" s="101">
        <v>0</v>
      </c>
      <c r="F21" s="37">
        <f t="shared" ref="F21:F22" si="16">D21*75</f>
        <v>450</v>
      </c>
      <c r="G21" s="37"/>
      <c r="H21" s="42">
        <v>4</v>
      </c>
      <c r="I21" s="42">
        <v>3</v>
      </c>
      <c r="J21" s="42">
        <f t="shared" si="7"/>
        <v>7</v>
      </c>
      <c r="K21" s="102">
        <v>0</v>
      </c>
      <c r="L21" s="37">
        <f t="shared" si="13"/>
        <v>525</v>
      </c>
      <c r="M21" s="34"/>
      <c r="N21" s="42">
        <v>0</v>
      </c>
      <c r="O21" s="42">
        <v>3</v>
      </c>
      <c r="P21" s="42">
        <f t="shared" si="8"/>
        <v>3</v>
      </c>
      <c r="Q21" s="104">
        <v>0</v>
      </c>
      <c r="R21" s="37">
        <f t="shared" si="14"/>
        <v>225</v>
      </c>
      <c r="T21" s="42">
        <f t="shared" si="10"/>
        <v>7</v>
      </c>
      <c r="U21" s="42">
        <f t="shared" si="1"/>
        <v>9</v>
      </c>
      <c r="V21" s="42">
        <f t="shared" si="2"/>
        <v>16</v>
      </c>
      <c r="W21" s="42">
        <f t="shared" ref="W21:W22" si="17">E21+K21+Q21</f>
        <v>0</v>
      </c>
      <c r="X21" s="42">
        <f t="shared" ref="X21:X22" si="18">F21+L21+R21</f>
        <v>1200</v>
      </c>
    </row>
    <row r="22" spans="1:24" ht="18.600000000000001" customHeight="1">
      <c r="A22" s="36" t="s">
        <v>127</v>
      </c>
      <c r="B22" s="98">
        <v>0.5</v>
      </c>
      <c r="C22" s="98">
        <v>3</v>
      </c>
      <c r="D22" s="100">
        <f t="shared" si="5"/>
        <v>3.5</v>
      </c>
      <c r="E22" s="101">
        <v>0</v>
      </c>
      <c r="F22" s="37">
        <f t="shared" si="16"/>
        <v>262.5</v>
      </c>
      <c r="G22" s="37"/>
      <c r="H22" s="42">
        <v>2</v>
      </c>
      <c r="I22" s="42">
        <v>3</v>
      </c>
      <c r="J22" s="42">
        <f t="shared" si="7"/>
        <v>5</v>
      </c>
      <c r="K22" s="102">
        <v>0</v>
      </c>
      <c r="L22" s="37">
        <f t="shared" si="13"/>
        <v>375</v>
      </c>
      <c r="M22" s="34"/>
      <c r="N22" s="42">
        <v>4.5</v>
      </c>
      <c r="O22" s="42">
        <v>3</v>
      </c>
      <c r="P22" s="42">
        <f t="shared" si="8"/>
        <v>7.5</v>
      </c>
      <c r="Q22" s="104">
        <v>0</v>
      </c>
      <c r="R22" s="37">
        <f t="shared" si="14"/>
        <v>562.5</v>
      </c>
      <c r="T22" s="42">
        <f t="shared" si="10"/>
        <v>7</v>
      </c>
      <c r="U22" s="42">
        <f t="shared" si="1"/>
        <v>9</v>
      </c>
      <c r="V22" s="42">
        <f t="shared" si="2"/>
        <v>16</v>
      </c>
      <c r="W22" s="42">
        <f t="shared" si="17"/>
        <v>0</v>
      </c>
      <c r="X22" s="42">
        <f t="shared" si="18"/>
        <v>1200</v>
      </c>
    </row>
    <row r="23" spans="1:24" ht="18.600000000000001" customHeight="1">
      <c r="A23" s="36"/>
      <c r="B23" s="95"/>
      <c r="C23" s="95"/>
      <c r="D23" s="95"/>
      <c r="E23" s="95"/>
      <c r="F23" s="37"/>
      <c r="G23" s="37"/>
      <c r="H23" s="42"/>
      <c r="I23" s="42"/>
      <c r="J23" s="95"/>
      <c r="K23" s="95"/>
      <c r="L23" s="37"/>
      <c r="M23" s="34"/>
      <c r="N23" s="37"/>
      <c r="O23" s="37"/>
      <c r="P23" s="95"/>
      <c r="Q23" s="95"/>
      <c r="R23" s="37"/>
      <c r="T23" s="42"/>
      <c r="U23" s="42"/>
      <c r="V23" s="42"/>
      <c r="W23" s="42"/>
      <c r="X23" s="42"/>
    </row>
    <row r="24" spans="1:24" s="49" customFormat="1" ht="18.600000000000001" customHeight="1">
      <c r="A24" s="45"/>
      <c r="B24" s="46">
        <f>SUM(B9:B22)</f>
        <v>81.5</v>
      </c>
      <c r="C24" s="46">
        <f>SUM(C9:C22)</f>
        <v>58</v>
      </c>
      <c r="D24" s="46">
        <f>SUM(D9:D22)</f>
        <v>139.5</v>
      </c>
      <c r="E24" s="46">
        <f>SUM(E9:E20)</f>
        <v>0</v>
      </c>
      <c r="F24" s="47">
        <f>SUM(F9:F20)</f>
        <v>9750</v>
      </c>
      <c r="G24" s="47"/>
      <c r="H24" s="46">
        <f>SUM(H9:H22)</f>
        <v>51.5</v>
      </c>
      <c r="I24" s="46">
        <f>SUM(I9:I22)</f>
        <v>48</v>
      </c>
      <c r="J24" s="50">
        <f>SUM(J9:J22)</f>
        <v>99.5</v>
      </c>
      <c r="K24" s="46">
        <f>SUM(K9:K20)</f>
        <v>0</v>
      </c>
      <c r="L24" s="47">
        <f>SUM(L9:L22)</f>
        <v>7462.5</v>
      </c>
      <c r="M24" s="48"/>
      <c r="N24" s="46">
        <f>SUM(N9:N22)</f>
        <v>42.5</v>
      </c>
      <c r="O24" s="46">
        <f>SUM(O9:O22)</f>
        <v>55.5</v>
      </c>
      <c r="P24" s="46">
        <f>SUM(P9:P22)</f>
        <v>98</v>
      </c>
      <c r="Q24" s="46"/>
      <c r="R24" s="47">
        <f>SUM(R9:R22)</f>
        <v>7350</v>
      </c>
      <c r="T24" s="50">
        <f>B24+H24+N24</f>
        <v>175.5</v>
      </c>
      <c r="U24" s="50">
        <f>C24+I24+O24</f>
        <v>161.5</v>
      </c>
      <c r="V24" s="50">
        <f>D24+J24+P24</f>
        <v>337</v>
      </c>
      <c r="W24" s="50">
        <f t="shared" ref="W24" si="19">E24+K24+Q24</f>
        <v>0</v>
      </c>
      <c r="X24" s="47">
        <f>V24*75</f>
        <v>25275</v>
      </c>
    </row>
    <row r="26" spans="1:24">
      <c r="A26" s="34"/>
      <c r="B26" s="118" t="s">
        <v>150</v>
      </c>
      <c r="C26" s="118"/>
      <c r="D26" s="118"/>
      <c r="E26" s="118"/>
      <c r="F26" s="118"/>
      <c r="G26" s="35"/>
      <c r="H26" s="115" t="s">
        <v>151</v>
      </c>
      <c r="I26" s="116"/>
      <c r="J26" s="116"/>
      <c r="K26" s="116"/>
      <c r="L26" s="117"/>
      <c r="M26" s="34"/>
      <c r="N26" s="115" t="s">
        <v>152</v>
      </c>
      <c r="O26" s="116"/>
      <c r="P26" s="116"/>
      <c r="Q26" s="116"/>
      <c r="R26" s="117"/>
      <c r="T26" s="115" t="s">
        <v>144</v>
      </c>
      <c r="U26" s="116"/>
      <c r="V26" s="116"/>
      <c r="W26" s="116"/>
      <c r="X26" s="117"/>
    </row>
    <row r="27" spans="1:24">
      <c r="A27" s="36"/>
      <c r="B27" s="35" t="s">
        <v>85</v>
      </c>
      <c r="C27" s="35" t="s">
        <v>86</v>
      </c>
      <c r="D27" s="35" t="s">
        <v>48</v>
      </c>
      <c r="E27" s="35" t="s">
        <v>84</v>
      </c>
      <c r="F27" s="35" t="s">
        <v>82</v>
      </c>
      <c r="G27" s="35"/>
      <c r="H27" s="35" t="s">
        <v>85</v>
      </c>
      <c r="I27" s="35" t="s">
        <v>86</v>
      </c>
      <c r="J27" s="35" t="s">
        <v>48</v>
      </c>
      <c r="K27" s="35" t="s">
        <v>84</v>
      </c>
      <c r="L27" s="35" t="s">
        <v>13</v>
      </c>
      <c r="M27" s="34"/>
      <c r="N27" s="35" t="s">
        <v>85</v>
      </c>
      <c r="O27" s="35" t="s">
        <v>86</v>
      </c>
      <c r="P27" s="35" t="s">
        <v>48</v>
      </c>
      <c r="Q27" s="35" t="s">
        <v>84</v>
      </c>
      <c r="R27" s="35" t="s">
        <v>13</v>
      </c>
      <c r="T27" s="35" t="s">
        <v>85</v>
      </c>
      <c r="U27" s="35" t="s">
        <v>86</v>
      </c>
      <c r="V27" s="35" t="s">
        <v>48</v>
      </c>
      <c r="W27" s="35" t="s">
        <v>84</v>
      </c>
      <c r="X27" s="35" t="s">
        <v>13</v>
      </c>
    </row>
    <row r="28" spans="1:24" ht="18.600000000000001" customHeight="1">
      <c r="A28" s="36" t="s">
        <v>0</v>
      </c>
      <c r="B28" s="35">
        <v>0</v>
      </c>
      <c r="C28" s="35">
        <v>2</v>
      </c>
      <c r="D28" s="35">
        <f>C28+B28</f>
        <v>2</v>
      </c>
      <c r="E28" s="35">
        <v>0</v>
      </c>
      <c r="F28" s="37">
        <f t="shared" ref="F28:F41" si="20">D28*75</f>
        <v>150</v>
      </c>
      <c r="G28" s="37"/>
      <c r="H28" s="42">
        <v>2</v>
      </c>
      <c r="I28" s="42">
        <v>0</v>
      </c>
      <c r="J28" s="42">
        <f>H28+I28</f>
        <v>2</v>
      </c>
      <c r="K28" s="35">
        <v>0</v>
      </c>
      <c r="L28" s="37">
        <f t="shared" ref="L28:L41" si="21">J28*75</f>
        <v>150</v>
      </c>
      <c r="M28" s="34"/>
      <c r="N28" s="42">
        <v>0</v>
      </c>
      <c r="O28" s="42">
        <v>2</v>
      </c>
      <c r="P28" s="42">
        <f>N28+O28</f>
        <v>2</v>
      </c>
      <c r="Q28" s="35">
        <v>0</v>
      </c>
      <c r="R28" s="37">
        <f t="shared" ref="R28:R41" si="22">P28*75</f>
        <v>150</v>
      </c>
      <c r="T28" s="42">
        <f>B28+H28+N28</f>
        <v>2</v>
      </c>
      <c r="U28" s="42">
        <f t="shared" ref="U28:X28" si="23">C28+I28+O28</f>
        <v>4</v>
      </c>
      <c r="V28" s="42">
        <f t="shared" si="23"/>
        <v>6</v>
      </c>
      <c r="W28" s="42">
        <f t="shared" si="23"/>
        <v>0</v>
      </c>
      <c r="X28" s="42">
        <f t="shared" si="23"/>
        <v>450</v>
      </c>
    </row>
    <row r="29" spans="1:24" ht="18.600000000000001" customHeight="1">
      <c r="A29" s="36" t="s">
        <v>1</v>
      </c>
      <c r="B29" s="35">
        <v>6</v>
      </c>
      <c r="C29" s="35">
        <v>2</v>
      </c>
      <c r="D29" s="109">
        <f t="shared" ref="D29:D41" si="24">C29+B29</f>
        <v>8</v>
      </c>
      <c r="E29" s="35">
        <v>0</v>
      </c>
      <c r="F29" s="37">
        <f>D29*75</f>
        <v>600</v>
      </c>
      <c r="G29" s="37"/>
      <c r="H29" s="42">
        <v>6</v>
      </c>
      <c r="I29" s="42">
        <v>2</v>
      </c>
      <c r="J29" s="42">
        <f t="shared" ref="J29:J41" si="25">H29+I29</f>
        <v>8</v>
      </c>
      <c r="K29" s="35">
        <v>0</v>
      </c>
      <c r="L29" s="37">
        <f t="shared" si="21"/>
        <v>600</v>
      </c>
      <c r="M29" s="34"/>
      <c r="N29" s="42">
        <v>5</v>
      </c>
      <c r="O29" s="42">
        <v>2</v>
      </c>
      <c r="P29" s="42">
        <f t="shared" ref="P29:P41" si="26">N29+O29</f>
        <v>7</v>
      </c>
      <c r="Q29" s="35">
        <v>0</v>
      </c>
      <c r="R29" s="37">
        <f t="shared" si="22"/>
        <v>525</v>
      </c>
      <c r="T29" s="42">
        <f t="shared" ref="T29:T42" si="27">B29+H29+N29</f>
        <v>17</v>
      </c>
      <c r="U29" s="42">
        <f t="shared" ref="U29:U42" si="28">C29+I29+O29</f>
        <v>6</v>
      </c>
      <c r="V29" s="42">
        <f t="shared" ref="V29:V39" si="29">D29+J29+P29</f>
        <v>23</v>
      </c>
      <c r="W29" s="42">
        <f t="shared" ref="W29:W42" si="30">E29+K29+Q29</f>
        <v>0</v>
      </c>
      <c r="X29" s="42">
        <f t="shared" ref="X29:X39" si="31">F29+L29+R29</f>
        <v>1725</v>
      </c>
    </row>
    <row r="30" spans="1:24" ht="18.600000000000001" customHeight="1">
      <c r="A30" s="36" t="s">
        <v>2</v>
      </c>
      <c r="B30" s="35">
        <v>3</v>
      </c>
      <c r="C30" s="35">
        <v>3</v>
      </c>
      <c r="D30" s="109">
        <f t="shared" si="24"/>
        <v>6</v>
      </c>
      <c r="E30" s="35">
        <v>0</v>
      </c>
      <c r="F30" s="37">
        <f t="shared" si="20"/>
        <v>450</v>
      </c>
      <c r="G30" s="37"/>
      <c r="H30" s="42">
        <v>1</v>
      </c>
      <c r="I30" s="42">
        <v>2</v>
      </c>
      <c r="J30" s="42">
        <f t="shared" si="25"/>
        <v>3</v>
      </c>
      <c r="K30" s="35">
        <v>0</v>
      </c>
      <c r="L30" s="37">
        <f t="shared" si="21"/>
        <v>225</v>
      </c>
      <c r="M30" s="34"/>
      <c r="N30" s="42">
        <v>2.5</v>
      </c>
      <c r="O30" s="42">
        <v>5</v>
      </c>
      <c r="P30" s="42">
        <f t="shared" si="26"/>
        <v>7.5</v>
      </c>
      <c r="Q30" s="35">
        <v>0</v>
      </c>
      <c r="R30" s="37">
        <f t="shared" si="22"/>
        <v>562.5</v>
      </c>
      <c r="T30" s="42">
        <f t="shared" si="27"/>
        <v>6.5</v>
      </c>
      <c r="U30" s="42">
        <f t="shared" si="28"/>
        <v>10</v>
      </c>
      <c r="V30" s="42">
        <f t="shared" si="29"/>
        <v>16.5</v>
      </c>
      <c r="W30" s="42">
        <f t="shared" si="30"/>
        <v>0</v>
      </c>
      <c r="X30" s="42">
        <f t="shared" si="31"/>
        <v>1237.5</v>
      </c>
    </row>
    <row r="31" spans="1:24" ht="18.600000000000001" customHeight="1">
      <c r="A31" s="36" t="s">
        <v>3</v>
      </c>
      <c r="B31" s="35">
        <v>6</v>
      </c>
      <c r="C31" s="35">
        <v>2</v>
      </c>
      <c r="D31" s="109">
        <f t="shared" si="24"/>
        <v>8</v>
      </c>
      <c r="E31" s="35">
        <v>0</v>
      </c>
      <c r="F31" s="37">
        <f>D31*75</f>
        <v>600</v>
      </c>
      <c r="G31" s="37"/>
      <c r="H31" s="42">
        <v>6</v>
      </c>
      <c r="I31" s="42">
        <v>2</v>
      </c>
      <c r="J31" s="42">
        <f t="shared" si="25"/>
        <v>8</v>
      </c>
      <c r="K31" s="35">
        <v>0</v>
      </c>
      <c r="L31" s="37">
        <f t="shared" si="21"/>
        <v>600</v>
      </c>
      <c r="M31" s="34"/>
      <c r="N31" s="42">
        <v>3</v>
      </c>
      <c r="O31" s="42">
        <v>2</v>
      </c>
      <c r="P31" s="42">
        <f t="shared" si="26"/>
        <v>5</v>
      </c>
      <c r="Q31" s="35">
        <v>0</v>
      </c>
      <c r="R31" s="37">
        <f t="shared" si="22"/>
        <v>375</v>
      </c>
      <c r="T31" s="42">
        <f t="shared" si="27"/>
        <v>15</v>
      </c>
      <c r="U31" s="42">
        <f t="shared" si="28"/>
        <v>6</v>
      </c>
      <c r="V31" s="42">
        <f t="shared" si="29"/>
        <v>21</v>
      </c>
      <c r="W31" s="42">
        <f t="shared" si="30"/>
        <v>0</v>
      </c>
      <c r="X31" s="42">
        <f t="shared" si="31"/>
        <v>1575</v>
      </c>
    </row>
    <row r="32" spans="1:24" ht="18.600000000000001" customHeight="1">
      <c r="A32" s="36" t="s">
        <v>4</v>
      </c>
      <c r="B32" s="35">
        <v>10.5</v>
      </c>
      <c r="C32" s="35">
        <v>6</v>
      </c>
      <c r="D32" s="109">
        <f t="shared" si="24"/>
        <v>16.5</v>
      </c>
      <c r="E32" s="35">
        <v>0</v>
      </c>
      <c r="F32" s="37">
        <f t="shared" si="20"/>
        <v>1237.5</v>
      </c>
      <c r="G32" s="37"/>
      <c r="H32" s="42">
        <v>4</v>
      </c>
      <c r="I32" s="42">
        <v>3</v>
      </c>
      <c r="J32" s="42">
        <f t="shared" si="25"/>
        <v>7</v>
      </c>
      <c r="K32" s="35">
        <v>0</v>
      </c>
      <c r="L32" s="37">
        <f t="shared" si="21"/>
        <v>525</v>
      </c>
      <c r="M32" s="34"/>
      <c r="N32" s="42">
        <v>6.5</v>
      </c>
      <c r="O32" s="42">
        <v>2</v>
      </c>
      <c r="P32" s="42">
        <f t="shared" si="26"/>
        <v>8.5</v>
      </c>
      <c r="Q32" s="35">
        <v>26.4</v>
      </c>
      <c r="R32" s="37">
        <f t="shared" si="22"/>
        <v>637.5</v>
      </c>
      <c r="T32" s="42">
        <f t="shared" si="27"/>
        <v>21</v>
      </c>
      <c r="U32" s="42">
        <f t="shared" si="28"/>
        <v>11</v>
      </c>
      <c r="V32" s="42">
        <f t="shared" si="29"/>
        <v>32</v>
      </c>
      <c r="W32" s="42">
        <f t="shared" si="30"/>
        <v>26.4</v>
      </c>
      <c r="X32" s="42">
        <f t="shared" si="31"/>
        <v>2400</v>
      </c>
    </row>
    <row r="33" spans="1:24" ht="18.600000000000001" customHeight="1">
      <c r="A33" s="36" t="s">
        <v>5</v>
      </c>
      <c r="B33" s="35">
        <v>0.5</v>
      </c>
      <c r="C33" s="35">
        <v>2</v>
      </c>
      <c r="D33" s="109">
        <f t="shared" si="24"/>
        <v>2.5</v>
      </c>
      <c r="E33" s="35">
        <v>0</v>
      </c>
      <c r="F33" s="37">
        <f t="shared" si="20"/>
        <v>187.5</v>
      </c>
      <c r="G33" s="37"/>
      <c r="H33" s="42">
        <v>2</v>
      </c>
      <c r="I33" s="42">
        <v>0.5</v>
      </c>
      <c r="J33" s="42">
        <f t="shared" si="25"/>
        <v>2.5</v>
      </c>
      <c r="K33" s="35">
        <v>0</v>
      </c>
      <c r="L33" s="37">
        <f t="shared" si="21"/>
        <v>187.5</v>
      </c>
      <c r="M33" s="34"/>
      <c r="N33" s="42">
        <v>2</v>
      </c>
      <c r="O33" s="42">
        <v>2</v>
      </c>
      <c r="P33" s="42">
        <f t="shared" si="26"/>
        <v>4</v>
      </c>
      <c r="Q33" s="35">
        <v>0</v>
      </c>
      <c r="R33" s="37">
        <f t="shared" si="22"/>
        <v>300</v>
      </c>
      <c r="T33" s="42">
        <f t="shared" si="27"/>
        <v>4.5</v>
      </c>
      <c r="U33" s="42">
        <f t="shared" si="28"/>
        <v>4.5</v>
      </c>
      <c r="V33" s="42">
        <f t="shared" si="29"/>
        <v>9</v>
      </c>
      <c r="W33" s="42">
        <f t="shared" si="30"/>
        <v>0</v>
      </c>
      <c r="X33" s="42">
        <f t="shared" si="31"/>
        <v>675</v>
      </c>
    </row>
    <row r="34" spans="1:24" ht="18.600000000000001" customHeight="1">
      <c r="A34" s="36" t="s">
        <v>6</v>
      </c>
      <c r="B34" s="35">
        <v>10</v>
      </c>
      <c r="C34" s="35">
        <v>6</v>
      </c>
      <c r="D34" s="109">
        <f t="shared" si="24"/>
        <v>16</v>
      </c>
      <c r="E34" s="35">
        <v>0</v>
      </c>
      <c r="F34" s="37">
        <f t="shared" si="20"/>
        <v>1200</v>
      </c>
      <c r="G34" s="37"/>
      <c r="H34" s="42">
        <v>3</v>
      </c>
      <c r="I34" s="42">
        <v>3</v>
      </c>
      <c r="J34" s="42">
        <f t="shared" si="25"/>
        <v>6</v>
      </c>
      <c r="K34" s="35">
        <v>0</v>
      </c>
      <c r="L34" s="37">
        <f t="shared" si="21"/>
        <v>450</v>
      </c>
      <c r="M34" s="34"/>
      <c r="N34" s="42">
        <v>2</v>
      </c>
      <c r="O34" s="42">
        <v>2</v>
      </c>
      <c r="P34" s="42">
        <f t="shared" si="26"/>
        <v>4</v>
      </c>
      <c r="Q34" s="35">
        <v>0</v>
      </c>
      <c r="R34" s="37">
        <f t="shared" si="22"/>
        <v>300</v>
      </c>
      <c r="T34" s="42">
        <f t="shared" si="27"/>
        <v>15</v>
      </c>
      <c r="U34" s="42">
        <f t="shared" si="28"/>
        <v>11</v>
      </c>
      <c r="V34" s="42">
        <f t="shared" si="29"/>
        <v>26</v>
      </c>
      <c r="W34" s="42">
        <f t="shared" si="30"/>
        <v>0</v>
      </c>
      <c r="X34" s="42">
        <f t="shared" si="31"/>
        <v>1950</v>
      </c>
    </row>
    <row r="35" spans="1:24" ht="18.600000000000001" customHeight="1">
      <c r="A35" s="36" t="s">
        <v>7</v>
      </c>
      <c r="B35" s="35">
        <v>13</v>
      </c>
      <c r="C35" s="35">
        <v>5</v>
      </c>
      <c r="D35" s="109">
        <f t="shared" si="24"/>
        <v>18</v>
      </c>
      <c r="E35" s="35">
        <v>0</v>
      </c>
      <c r="F35" s="37">
        <f>D35*75</f>
        <v>1350</v>
      </c>
      <c r="G35" s="37"/>
      <c r="H35" s="42">
        <v>3</v>
      </c>
      <c r="I35" s="42">
        <v>3</v>
      </c>
      <c r="J35" s="42">
        <f t="shared" si="25"/>
        <v>6</v>
      </c>
      <c r="K35" s="35">
        <v>0</v>
      </c>
      <c r="L35" s="37">
        <f>J35*75</f>
        <v>450</v>
      </c>
      <c r="M35" s="34"/>
      <c r="N35" s="42">
        <v>8</v>
      </c>
      <c r="O35" s="42">
        <v>5</v>
      </c>
      <c r="P35" s="42">
        <f t="shared" si="26"/>
        <v>13</v>
      </c>
      <c r="Q35" s="35">
        <v>0</v>
      </c>
      <c r="R35" s="37">
        <f>P35*75</f>
        <v>975</v>
      </c>
      <c r="T35" s="42">
        <f t="shared" si="27"/>
        <v>24</v>
      </c>
      <c r="U35" s="42">
        <f t="shared" si="28"/>
        <v>13</v>
      </c>
      <c r="V35" s="42">
        <f t="shared" si="29"/>
        <v>37</v>
      </c>
      <c r="W35" s="42">
        <f t="shared" si="30"/>
        <v>0</v>
      </c>
      <c r="X35" s="42">
        <f>F35+L35+R35</f>
        <v>2775</v>
      </c>
    </row>
    <row r="36" spans="1:24" ht="18.600000000000001" customHeight="1">
      <c r="A36" s="36" t="s">
        <v>8</v>
      </c>
      <c r="B36" s="35">
        <v>0</v>
      </c>
      <c r="C36" s="35">
        <v>2</v>
      </c>
      <c r="D36" s="109">
        <f t="shared" si="24"/>
        <v>2</v>
      </c>
      <c r="E36" s="35">
        <v>0</v>
      </c>
      <c r="F36" s="37">
        <f t="shared" si="20"/>
        <v>150</v>
      </c>
      <c r="G36" s="37"/>
      <c r="H36" s="42">
        <v>0</v>
      </c>
      <c r="I36" s="42">
        <v>2</v>
      </c>
      <c r="J36" s="42">
        <f t="shared" si="25"/>
        <v>2</v>
      </c>
      <c r="K36" s="35">
        <v>0</v>
      </c>
      <c r="L36" s="37">
        <f t="shared" si="21"/>
        <v>150</v>
      </c>
      <c r="M36" s="34"/>
      <c r="N36" s="42">
        <v>0</v>
      </c>
      <c r="O36" s="42">
        <v>2</v>
      </c>
      <c r="P36" s="42">
        <f t="shared" si="26"/>
        <v>2</v>
      </c>
      <c r="Q36" s="35">
        <v>0</v>
      </c>
      <c r="R36" s="37">
        <f t="shared" si="22"/>
        <v>150</v>
      </c>
      <c r="T36" s="42">
        <f t="shared" si="27"/>
        <v>0</v>
      </c>
      <c r="U36" s="42">
        <f t="shared" si="28"/>
        <v>6</v>
      </c>
      <c r="V36" s="42">
        <f t="shared" si="29"/>
        <v>6</v>
      </c>
      <c r="W36" s="42">
        <f t="shared" si="30"/>
        <v>0</v>
      </c>
      <c r="X36" s="42">
        <f t="shared" si="31"/>
        <v>450</v>
      </c>
    </row>
    <row r="37" spans="1:24" ht="18.600000000000001" customHeight="1">
      <c r="A37" s="36" t="s">
        <v>9</v>
      </c>
      <c r="B37" s="35">
        <v>6</v>
      </c>
      <c r="C37" s="35">
        <v>2</v>
      </c>
      <c r="D37" s="109">
        <f t="shared" si="24"/>
        <v>8</v>
      </c>
      <c r="E37" s="35">
        <v>0</v>
      </c>
      <c r="F37" s="37">
        <f t="shared" si="20"/>
        <v>600</v>
      </c>
      <c r="G37" s="37"/>
      <c r="H37" s="42">
        <v>6</v>
      </c>
      <c r="I37" s="42">
        <v>2</v>
      </c>
      <c r="J37" s="42">
        <f t="shared" si="25"/>
        <v>8</v>
      </c>
      <c r="K37" s="35">
        <v>0</v>
      </c>
      <c r="L37" s="37">
        <f t="shared" si="21"/>
        <v>600</v>
      </c>
      <c r="M37" s="34"/>
      <c r="N37" s="42">
        <v>6</v>
      </c>
      <c r="O37" s="42">
        <v>5</v>
      </c>
      <c r="P37" s="42">
        <f t="shared" si="26"/>
        <v>11</v>
      </c>
      <c r="Q37" s="35">
        <v>0</v>
      </c>
      <c r="R37" s="37">
        <f t="shared" si="22"/>
        <v>825</v>
      </c>
      <c r="T37" s="42">
        <f t="shared" si="27"/>
        <v>18</v>
      </c>
      <c r="U37" s="42">
        <f t="shared" si="28"/>
        <v>9</v>
      </c>
      <c r="V37" s="42">
        <f t="shared" si="29"/>
        <v>27</v>
      </c>
      <c r="W37" s="42">
        <f t="shared" si="30"/>
        <v>0</v>
      </c>
      <c r="X37" s="42">
        <f t="shared" si="31"/>
        <v>2025</v>
      </c>
    </row>
    <row r="38" spans="1:24" ht="18.600000000000001" customHeight="1">
      <c r="A38" s="36" t="s">
        <v>10</v>
      </c>
      <c r="B38" s="35">
        <v>0</v>
      </c>
      <c r="C38" s="35">
        <v>2</v>
      </c>
      <c r="D38" s="109">
        <f t="shared" si="24"/>
        <v>2</v>
      </c>
      <c r="E38" s="35">
        <v>0</v>
      </c>
      <c r="F38" s="37">
        <f t="shared" si="20"/>
        <v>150</v>
      </c>
      <c r="G38" s="37"/>
      <c r="H38" s="42">
        <v>0</v>
      </c>
      <c r="I38" s="42">
        <v>2</v>
      </c>
      <c r="J38" s="42">
        <f t="shared" si="25"/>
        <v>2</v>
      </c>
      <c r="K38" s="35">
        <v>0</v>
      </c>
      <c r="L38" s="37">
        <f t="shared" si="21"/>
        <v>150</v>
      </c>
      <c r="M38" s="34"/>
      <c r="N38" s="42">
        <v>2</v>
      </c>
      <c r="O38" s="42">
        <v>2</v>
      </c>
      <c r="P38" s="42">
        <f t="shared" si="26"/>
        <v>4</v>
      </c>
      <c r="Q38" s="35">
        <v>0</v>
      </c>
      <c r="R38" s="37">
        <f t="shared" si="22"/>
        <v>300</v>
      </c>
      <c r="T38" s="42">
        <f t="shared" si="27"/>
        <v>2</v>
      </c>
      <c r="U38" s="42">
        <f t="shared" si="28"/>
        <v>6</v>
      </c>
      <c r="V38" s="42">
        <f t="shared" si="29"/>
        <v>8</v>
      </c>
      <c r="W38" s="42">
        <f t="shared" si="30"/>
        <v>0</v>
      </c>
      <c r="X38" s="42">
        <f t="shared" si="31"/>
        <v>600</v>
      </c>
    </row>
    <row r="39" spans="1:24" ht="18.600000000000001" customHeight="1">
      <c r="A39" s="36" t="s">
        <v>11</v>
      </c>
      <c r="B39" s="35">
        <v>0</v>
      </c>
      <c r="C39" s="35">
        <v>2</v>
      </c>
      <c r="D39" s="109">
        <f t="shared" si="24"/>
        <v>2</v>
      </c>
      <c r="E39" s="35">
        <v>0</v>
      </c>
      <c r="F39" s="37">
        <f t="shared" si="20"/>
        <v>150</v>
      </c>
      <c r="G39" s="37"/>
      <c r="H39" s="42">
        <v>0</v>
      </c>
      <c r="I39" s="42">
        <v>2</v>
      </c>
      <c r="J39" s="42">
        <f t="shared" si="25"/>
        <v>2</v>
      </c>
      <c r="K39" s="35">
        <v>0</v>
      </c>
      <c r="L39" s="37">
        <f t="shared" si="21"/>
        <v>150</v>
      </c>
      <c r="M39" s="34"/>
      <c r="N39" s="42">
        <v>6</v>
      </c>
      <c r="O39" s="42">
        <v>5</v>
      </c>
      <c r="P39" s="42">
        <f t="shared" si="26"/>
        <v>11</v>
      </c>
      <c r="Q39" s="35">
        <v>0</v>
      </c>
      <c r="R39" s="37">
        <f t="shared" si="22"/>
        <v>825</v>
      </c>
      <c r="T39" s="42">
        <f t="shared" si="27"/>
        <v>6</v>
      </c>
      <c r="U39" s="42">
        <f t="shared" si="28"/>
        <v>9</v>
      </c>
      <c r="V39" s="42">
        <f t="shared" si="29"/>
        <v>15</v>
      </c>
      <c r="W39" s="42">
        <f t="shared" si="30"/>
        <v>0</v>
      </c>
      <c r="X39" s="42">
        <f t="shared" si="31"/>
        <v>1125</v>
      </c>
    </row>
    <row r="40" spans="1:24" ht="18.600000000000001" customHeight="1">
      <c r="A40" s="36" t="s">
        <v>126</v>
      </c>
      <c r="B40" s="95">
        <v>10</v>
      </c>
      <c r="C40" s="95">
        <v>6</v>
      </c>
      <c r="D40" s="109">
        <f t="shared" si="24"/>
        <v>16</v>
      </c>
      <c r="E40" s="95">
        <v>0</v>
      </c>
      <c r="F40" s="37">
        <f t="shared" si="20"/>
        <v>1200</v>
      </c>
      <c r="G40" s="37"/>
      <c r="H40" s="42">
        <v>3</v>
      </c>
      <c r="I40" s="42">
        <v>1</v>
      </c>
      <c r="J40" s="42">
        <f t="shared" si="25"/>
        <v>4</v>
      </c>
      <c r="K40" s="110">
        <v>0</v>
      </c>
      <c r="L40" s="37">
        <f t="shared" si="21"/>
        <v>300</v>
      </c>
      <c r="M40" s="34"/>
      <c r="N40" s="42">
        <v>2</v>
      </c>
      <c r="O40" s="42">
        <v>0</v>
      </c>
      <c r="P40" s="42">
        <f t="shared" si="26"/>
        <v>2</v>
      </c>
      <c r="Q40" s="111">
        <v>0</v>
      </c>
      <c r="R40" s="37">
        <f t="shared" si="22"/>
        <v>150</v>
      </c>
      <c r="T40" s="42">
        <f t="shared" si="27"/>
        <v>15</v>
      </c>
      <c r="U40" s="42">
        <f t="shared" si="28"/>
        <v>7</v>
      </c>
      <c r="V40" s="42"/>
      <c r="W40" s="42"/>
      <c r="X40" s="42"/>
    </row>
    <row r="41" spans="1:24" ht="18.600000000000001" customHeight="1">
      <c r="A41" s="36" t="s">
        <v>127</v>
      </c>
      <c r="B41" s="35">
        <v>6</v>
      </c>
      <c r="C41" s="35">
        <v>2</v>
      </c>
      <c r="D41" s="109">
        <f t="shared" si="24"/>
        <v>8</v>
      </c>
      <c r="E41" s="35">
        <v>0</v>
      </c>
      <c r="F41" s="37">
        <f t="shared" si="20"/>
        <v>600</v>
      </c>
      <c r="G41" s="37"/>
      <c r="H41" s="42">
        <v>6</v>
      </c>
      <c r="I41" s="42">
        <v>2</v>
      </c>
      <c r="J41" s="42">
        <f t="shared" si="25"/>
        <v>8</v>
      </c>
      <c r="K41" s="110">
        <v>0</v>
      </c>
      <c r="L41" s="37">
        <f t="shared" si="21"/>
        <v>600</v>
      </c>
      <c r="M41" s="34"/>
      <c r="N41" s="42">
        <v>6</v>
      </c>
      <c r="O41" s="42">
        <v>5</v>
      </c>
      <c r="P41" s="42">
        <f t="shared" si="26"/>
        <v>11</v>
      </c>
      <c r="Q41" s="111">
        <v>0</v>
      </c>
      <c r="R41" s="37">
        <f t="shared" si="22"/>
        <v>825</v>
      </c>
      <c r="T41" s="42">
        <f t="shared" si="27"/>
        <v>18</v>
      </c>
      <c r="U41" s="42">
        <f t="shared" si="28"/>
        <v>9</v>
      </c>
      <c r="V41" s="42"/>
      <c r="W41" s="42"/>
      <c r="X41" s="42"/>
    </row>
    <row r="42" spans="1:24" s="49" customFormat="1" ht="18.600000000000001" customHeight="1">
      <c r="A42" s="45"/>
      <c r="B42" s="46">
        <f>SUM(B28:B41)</f>
        <v>71</v>
      </c>
      <c r="C42" s="46">
        <f>SUM(C28:C41)</f>
        <v>44</v>
      </c>
      <c r="D42" s="46">
        <f>SUM(D28:D41)</f>
        <v>115</v>
      </c>
      <c r="E42" s="46">
        <f>SUM(E28:E41)</f>
        <v>0</v>
      </c>
      <c r="F42" s="47">
        <f>SUM(F28:F41)</f>
        <v>8625</v>
      </c>
      <c r="G42" s="47"/>
      <c r="H42" s="46">
        <f>SUM(H28:H41)</f>
        <v>42</v>
      </c>
      <c r="I42" s="46">
        <f>SUM(I28:I41)</f>
        <v>26.5</v>
      </c>
      <c r="J42" s="46">
        <f>SUM(J28:J39)</f>
        <v>56.5</v>
      </c>
      <c r="K42" s="46">
        <f t="shared" ref="K42" si="32">SUM(K28:K39)</f>
        <v>0</v>
      </c>
      <c r="L42" s="47">
        <f>SUM(L28:L39)</f>
        <v>4237.5</v>
      </c>
      <c r="M42" s="48"/>
      <c r="N42" s="46">
        <f>SUM(N28:N41)</f>
        <v>51</v>
      </c>
      <c r="O42" s="46">
        <f>SUM(O28:O41)</f>
        <v>41</v>
      </c>
      <c r="P42" s="46">
        <f>SUM(P28:P39)</f>
        <v>79</v>
      </c>
      <c r="Q42" s="46"/>
      <c r="R42" s="47">
        <f>SUM(R28:R39)</f>
        <v>5925</v>
      </c>
      <c r="T42" s="50">
        <f t="shared" si="27"/>
        <v>164</v>
      </c>
      <c r="U42" s="50">
        <f t="shared" si="28"/>
        <v>111.5</v>
      </c>
      <c r="V42" s="50">
        <f>D42+J42+P42</f>
        <v>250.5</v>
      </c>
      <c r="W42" s="50">
        <f t="shared" si="30"/>
        <v>0</v>
      </c>
      <c r="X42" s="47">
        <f>F42+L42+R42</f>
        <v>18787.5</v>
      </c>
    </row>
    <row r="44" spans="1:24">
      <c r="A44" s="38"/>
      <c r="B44" s="123" t="s">
        <v>153</v>
      </c>
      <c r="C44" s="123"/>
      <c r="D44" s="123"/>
      <c r="E44" s="123"/>
      <c r="F44" s="123"/>
      <c r="G44" s="39"/>
      <c r="H44" s="112" t="s">
        <v>154</v>
      </c>
      <c r="I44" s="113"/>
      <c r="J44" s="113"/>
      <c r="K44" s="113"/>
      <c r="L44" s="114"/>
      <c r="M44" s="38"/>
      <c r="N44" s="112" t="s">
        <v>155</v>
      </c>
      <c r="O44" s="113"/>
      <c r="P44" s="113"/>
      <c r="Q44" s="113"/>
      <c r="R44" s="114"/>
      <c r="T44" s="112" t="s">
        <v>146</v>
      </c>
      <c r="U44" s="113"/>
      <c r="V44" s="113"/>
      <c r="W44" s="113"/>
      <c r="X44" s="114"/>
    </row>
    <row r="45" spans="1:24">
      <c r="A45" s="40"/>
      <c r="B45" s="39" t="s">
        <v>85</v>
      </c>
      <c r="C45" s="39" t="s">
        <v>86</v>
      </c>
      <c r="D45" s="39" t="s">
        <v>48</v>
      </c>
      <c r="E45" s="39" t="s">
        <v>84</v>
      </c>
      <c r="F45" s="39" t="s">
        <v>82</v>
      </c>
      <c r="G45" s="39"/>
      <c r="H45" s="39" t="s">
        <v>85</v>
      </c>
      <c r="I45" s="39" t="s">
        <v>86</v>
      </c>
      <c r="J45" s="39" t="s">
        <v>48</v>
      </c>
      <c r="K45" s="39" t="s">
        <v>84</v>
      </c>
      <c r="L45" s="39" t="s">
        <v>13</v>
      </c>
      <c r="M45" s="38"/>
      <c r="N45" s="39" t="s">
        <v>85</v>
      </c>
      <c r="O45" s="39" t="s">
        <v>86</v>
      </c>
      <c r="P45" s="39" t="s">
        <v>48</v>
      </c>
      <c r="Q45" s="39" t="s">
        <v>84</v>
      </c>
      <c r="R45" s="39" t="s">
        <v>13</v>
      </c>
      <c r="T45" s="39" t="s">
        <v>85</v>
      </c>
      <c r="U45" s="39" t="s">
        <v>86</v>
      </c>
      <c r="V45" s="39" t="s">
        <v>48</v>
      </c>
      <c r="W45" s="39" t="s">
        <v>84</v>
      </c>
      <c r="X45" s="39" t="s">
        <v>13</v>
      </c>
    </row>
    <row r="46" spans="1:24" ht="18.600000000000001" customHeight="1">
      <c r="A46" s="40" t="s">
        <v>0</v>
      </c>
      <c r="B46" s="39"/>
      <c r="C46" s="39"/>
      <c r="D46" s="39"/>
      <c r="E46" s="39">
        <v>0</v>
      </c>
      <c r="F46" s="41">
        <f t="shared" ref="F46:F57" si="33">D46*75</f>
        <v>0</v>
      </c>
      <c r="G46" s="41"/>
      <c r="H46" s="63"/>
      <c r="I46" s="63"/>
      <c r="J46" s="63"/>
      <c r="K46" s="39">
        <v>0</v>
      </c>
      <c r="L46" s="41">
        <f t="shared" ref="L46:L57" si="34">J46*75</f>
        <v>0</v>
      </c>
      <c r="M46" s="38"/>
      <c r="N46" s="64"/>
      <c r="O46" s="64"/>
      <c r="P46" s="64"/>
      <c r="Q46" s="39">
        <v>0</v>
      </c>
      <c r="R46" s="41">
        <f t="shared" ref="R46:R57" si="35">P46*75</f>
        <v>0</v>
      </c>
      <c r="T46" s="64">
        <f>N46+H46+B46</f>
        <v>0</v>
      </c>
      <c r="U46" s="64">
        <f>O46+I46+C46</f>
        <v>0</v>
      </c>
      <c r="V46" s="64">
        <f>P46+J46+D46</f>
        <v>0</v>
      </c>
      <c r="W46" s="39">
        <v>0</v>
      </c>
      <c r="X46" s="41">
        <f t="shared" ref="X46:X57" si="36">V46*75</f>
        <v>0</v>
      </c>
    </row>
    <row r="47" spans="1:24" ht="18.600000000000001" customHeight="1">
      <c r="A47" s="40" t="s">
        <v>1</v>
      </c>
      <c r="B47" s="39"/>
      <c r="C47" s="61"/>
      <c r="D47" s="61"/>
      <c r="E47" s="39">
        <v>0</v>
      </c>
      <c r="F47" s="41">
        <f t="shared" si="33"/>
        <v>0</v>
      </c>
      <c r="G47" s="41"/>
      <c r="H47" s="63"/>
      <c r="I47" s="63"/>
      <c r="J47" s="63"/>
      <c r="K47" s="39">
        <v>0</v>
      </c>
      <c r="L47" s="41">
        <f t="shared" si="34"/>
        <v>0</v>
      </c>
      <c r="M47" s="38"/>
      <c r="N47" s="64"/>
      <c r="O47" s="64"/>
      <c r="P47" s="64"/>
      <c r="Q47" s="39">
        <v>0</v>
      </c>
      <c r="R47" s="41">
        <f t="shared" si="35"/>
        <v>0</v>
      </c>
      <c r="T47" s="64">
        <f t="shared" ref="T47:T59" si="37">N47+H47+B47</f>
        <v>0</v>
      </c>
      <c r="U47" s="64">
        <f t="shared" ref="U47:U57" si="38">O47+I47+C47</f>
        <v>0</v>
      </c>
      <c r="V47" s="64">
        <f t="shared" ref="V47:V57" si="39">P47+J47+D47</f>
        <v>0</v>
      </c>
      <c r="W47" s="39">
        <v>0</v>
      </c>
      <c r="X47" s="41">
        <f t="shared" si="36"/>
        <v>0</v>
      </c>
    </row>
    <row r="48" spans="1:24" ht="18.600000000000001" customHeight="1">
      <c r="A48" s="40" t="s">
        <v>2</v>
      </c>
      <c r="B48" s="39"/>
      <c r="C48" s="61"/>
      <c r="D48" s="61"/>
      <c r="E48" s="39">
        <v>0</v>
      </c>
      <c r="F48" s="41">
        <f t="shared" si="33"/>
        <v>0</v>
      </c>
      <c r="G48" s="41"/>
      <c r="H48" s="63"/>
      <c r="I48" s="63"/>
      <c r="J48" s="63"/>
      <c r="K48" s="39">
        <v>0</v>
      </c>
      <c r="L48" s="41">
        <f t="shared" si="34"/>
        <v>0</v>
      </c>
      <c r="M48" s="38"/>
      <c r="N48" s="64"/>
      <c r="O48" s="64"/>
      <c r="P48" s="64"/>
      <c r="Q48" s="39">
        <v>0</v>
      </c>
      <c r="R48" s="41">
        <f t="shared" si="35"/>
        <v>0</v>
      </c>
      <c r="T48" s="64">
        <f t="shared" si="37"/>
        <v>0</v>
      </c>
      <c r="U48" s="64">
        <f t="shared" si="38"/>
        <v>0</v>
      </c>
      <c r="V48" s="64">
        <f t="shared" si="39"/>
        <v>0</v>
      </c>
      <c r="W48" s="39">
        <v>0</v>
      </c>
      <c r="X48" s="41">
        <f t="shared" si="36"/>
        <v>0</v>
      </c>
    </row>
    <row r="49" spans="1:24" ht="18.600000000000001" customHeight="1">
      <c r="A49" s="40" t="s">
        <v>3</v>
      </c>
      <c r="B49" s="39"/>
      <c r="C49" s="61"/>
      <c r="D49" s="61"/>
      <c r="E49" s="39">
        <v>0</v>
      </c>
      <c r="F49" s="41">
        <f t="shared" si="33"/>
        <v>0</v>
      </c>
      <c r="G49" s="41"/>
      <c r="H49" s="63"/>
      <c r="I49" s="63"/>
      <c r="J49" s="63"/>
      <c r="K49" s="39">
        <v>0</v>
      </c>
      <c r="L49" s="41">
        <f t="shared" si="34"/>
        <v>0</v>
      </c>
      <c r="M49" s="38"/>
      <c r="N49" s="64"/>
      <c r="O49" s="64"/>
      <c r="P49" s="64"/>
      <c r="Q49" s="39">
        <v>0</v>
      </c>
      <c r="R49" s="41">
        <f t="shared" si="35"/>
        <v>0</v>
      </c>
      <c r="T49" s="64">
        <f t="shared" si="37"/>
        <v>0</v>
      </c>
      <c r="U49" s="64">
        <f t="shared" si="38"/>
        <v>0</v>
      </c>
      <c r="V49" s="64">
        <f t="shared" si="39"/>
        <v>0</v>
      </c>
      <c r="W49" s="39">
        <v>0</v>
      </c>
      <c r="X49" s="41">
        <f t="shared" si="36"/>
        <v>0</v>
      </c>
    </row>
    <row r="50" spans="1:24" ht="18.600000000000001" customHeight="1">
      <c r="A50" s="40" t="s">
        <v>4</v>
      </c>
      <c r="B50" s="39"/>
      <c r="C50" s="61"/>
      <c r="D50" s="61"/>
      <c r="E50" s="39">
        <v>0</v>
      </c>
      <c r="F50" s="41">
        <f t="shared" si="33"/>
        <v>0</v>
      </c>
      <c r="G50" s="41"/>
      <c r="H50" s="63"/>
      <c r="I50" s="63"/>
      <c r="J50" s="63"/>
      <c r="K50" s="39">
        <v>0</v>
      </c>
      <c r="L50" s="41">
        <f t="shared" si="34"/>
        <v>0</v>
      </c>
      <c r="M50" s="38"/>
      <c r="N50" s="64"/>
      <c r="O50" s="64"/>
      <c r="P50" s="64"/>
      <c r="Q50" s="39">
        <v>0</v>
      </c>
      <c r="R50" s="41">
        <f t="shared" si="35"/>
        <v>0</v>
      </c>
      <c r="T50" s="64">
        <f t="shared" si="37"/>
        <v>0</v>
      </c>
      <c r="U50" s="64">
        <f t="shared" si="38"/>
        <v>0</v>
      </c>
      <c r="V50" s="64">
        <f t="shared" si="39"/>
        <v>0</v>
      </c>
      <c r="W50" s="39">
        <v>0</v>
      </c>
      <c r="X50" s="41">
        <f t="shared" si="36"/>
        <v>0</v>
      </c>
    </row>
    <row r="51" spans="1:24" ht="18.600000000000001" customHeight="1">
      <c r="A51" s="40" t="s">
        <v>5</v>
      </c>
      <c r="B51" s="39"/>
      <c r="C51" s="61"/>
      <c r="D51" s="61"/>
      <c r="E51" s="39">
        <v>0</v>
      </c>
      <c r="F51" s="41">
        <f t="shared" si="33"/>
        <v>0</v>
      </c>
      <c r="G51" s="41"/>
      <c r="H51" s="63"/>
      <c r="I51" s="63"/>
      <c r="J51" s="63"/>
      <c r="K51" s="39">
        <v>0</v>
      </c>
      <c r="L51" s="41">
        <f t="shared" si="34"/>
        <v>0</v>
      </c>
      <c r="M51" s="38"/>
      <c r="N51" s="64"/>
      <c r="O51" s="64"/>
      <c r="P51" s="64"/>
      <c r="Q51" s="39">
        <v>0</v>
      </c>
      <c r="R51" s="41">
        <f t="shared" si="35"/>
        <v>0</v>
      </c>
      <c r="T51" s="64">
        <f t="shared" si="37"/>
        <v>0</v>
      </c>
      <c r="U51" s="64">
        <f t="shared" si="38"/>
        <v>0</v>
      </c>
      <c r="V51" s="64">
        <f t="shared" si="39"/>
        <v>0</v>
      </c>
      <c r="W51" s="39">
        <v>0</v>
      </c>
      <c r="X51" s="41">
        <f t="shared" si="36"/>
        <v>0</v>
      </c>
    </row>
    <row r="52" spans="1:24" ht="18.600000000000001" customHeight="1">
      <c r="A52" s="40" t="s">
        <v>6</v>
      </c>
      <c r="B52" s="39"/>
      <c r="C52" s="61"/>
      <c r="D52" s="61"/>
      <c r="E52" s="39">
        <v>0</v>
      </c>
      <c r="F52" s="41">
        <f t="shared" si="33"/>
        <v>0</v>
      </c>
      <c r="G52" s="41"/>
      <c r="H52" s="63"/>
      <c r="I52" s="63"/>
      <c r="J52" s="63"/>
      <c r="K52" s="39">
        <v>0</v>
      </c>
      <c r="L52" s="41">
        <f t="shared" si="34"/>
        <v>0</v>
      </c>
      <c r="M52" s="38"/>
      <c r="N52" s="64"/>
      <c r="O52" s="64"/>
      <c r="P52" s="64"/>
      <c r="Q52" s="39">
        <v>0</v>
      </c>
      <c r="R52" s="41">
        <f t="shared" si="35"/>
        <v>0</v>
      </c>
      <c r="T52" s="64">
        <f t="shared" si="37"/>
        <v>0</v>
      </c>
      <c r="U52" s="64">
        <f t="shared" si="38"/>
        <v>0</v>
      </c>
      <c r="V52" s="64">
        <f t="shared" si="39"/>
        <v>0</v>
      </c>
      <c r="W52" s="39">
        <v>0</v>
      </c>
      <c r="X52" s="41">
        <f t="shared" si="36"/>
        <v>0</v>
      </c>
    </row>
    <row r="53" spans="1:24" ht="18.600000000000001" customHeight="1">
      <c r="A53" s="40" t="s">
        <v>7</v>
      </c>
      <c r="B53" s="39"/>
      <c r="C53" s="61"/>
      <c r="D53" s="61"/>
      <c r="E53" s="39">
        <v>0</v>
      </c>
      <c r="F53" s="41">
        <f t="shared" si="33"/>
        <v>0</v>
      </c>
      <c r="G53" s="41"/>
      <c r="H53" s="63"/>
      <c r="I53" s="63"/>
      <c r="J53" s="63"/>
      <c r="K53" s="39">
        <v>0</v>
      </c>
      <c r="L53" s="41">
        <f t="shared" si="34"/>
        <v>0</v>
      </c>
      <c r="M53" s="38"/>
      <c r="N53" s="64"/>
      <c r="O53" s="64"/>
      <c r="P53" s="64"/>
      <c r="Q53" s="39">
        <v>0</v>
      </c>
      <c r="R53" s="41">
        <f t="shared" si="35"/>
        <v>0</v>
      </c>
      <c r="T53" s="64">
        <f t="shared" si="37"/>
        <v>0</v>
      </c>
      <c r="U53" s="64">
        <f t="shared" si="38"/>
        <v>0</v>
      </c>
      <c r="V53" s="64">
        <f t="shared" si="39"/>
        <v>0</v>
      </c>
      <c r="W53" s="39">
        <v>0</v>
      </c>
      <c r="X53" s="41">
        <f t="shared" si="36"/>
        <v>0</v>
      </c>
    </row>
    <row r="54" spans="1:24" ht="18.600000000000001" customHeight="1">
      <c r="A54" s="40" t="s">
        <v>8</v>
      </c>
      <c r="B54" s="39"/>
      <c r="C54" s="61"/>
      <c r="D54" s="61"/>
      <c r="E54" s="39">
        <v>0</v>
      </c>
      <c r="F54" s="41">
        <f t="shared" si="33"/>
        <v>0</v>
      </c>
      <c r="G54" s="41"/>
      <c r="H54" s="63"/>
      <c r="I54" s="63"/>
      <c r="J54" s="63"/>
      <c r="K54" s="39">
        <v>0</v>
      </c>
      <c r="L54" s="41">
        <f t="shared" si="34"/>
        <v>0</v>
      </c>
      <c r="M54" s="38"/>
      <c r="N54" s="64"/>
      <c r="O54" s="64"/>
      <c r="P54" s="64"/>
      <c r="Q54" s="39">
        <v>0</v>
      </c>
      <c r="R54" s="41">
        <f t="shared" si="35"/>
        <v>0</v>
      </c>
      <c r="T54" s="64">
        <f t="shared" si="37"/>
        <v>0</v>
      </c>
      <c r="U54" s="64">
        <f t="shared" si="38"/>
        <v>0</v>
      </c>
      <c r="V54" s="64">
        <f t="shared" si="39"/>
        <v>0</v>
      </c>
      <c r="W54" s="39">
        <v>0</v>
      </c>
      <c r="X54" s="41">
        <f t="shared" si="36"/>
        <v>0</v>
      </c>
    </row>
    <row r="55" spans="1:24" ht="18.600000000000001" customHeight="1">
      <c r="A55" s="40" t="s">
        <v>9</v>
      </c>
      <c r="B55" s="39"/>
      <c r="C55" s="61"/>
      <c r="D55" s="61"/>
      <c r="E55" s="39">
        <v>0</v>
      </c>
      <c r="F55" s="41">
        <f t="shared" si="33"/>
        <v>0</v>
      </c>
      <c r="G55" s="41"/>
      <c r="H55" s="63"/>
      <c r="I55" s="63"/>
      <c r="J55" s="63"/>
      <c r="K55" s="39">
        <v>0</v>
      </c>
      <c r="L55" s="41">
        <f t="shared" si="34"/>
        <v>0</v>
      </c>
      <c r="M55" s="38"/>
      <c r="N55" s="64"/>
      <c r="O55" s="64"/>
      <c r="P55" s="64"/>
      <c r="Q55" s="39">
        <v>0</v>
      </c>
      <c r="R55" s="41">
        <f t="shared" si="35"/>
        <v>0</v>
      </c>
      <c r="T55" s="64">
        <f t="shared" si="37"/>
        <v>0</v>
      </c>
      <c r="U55" s="64">
        <f t="shared" si="38"/>
        <v>0</v>
      </c>
      <c r="V55" s="64">
        <f t="shared" si="39"/>
        <v>0</v>
      </c>
      <c r="W55" s="39">
        <v>0</v>
      </c>
      <c r="X55" s="41">
        <f t="shared" si="36"/>
        <v>0</v>
      </c>
    </row>
    <row r="56" spans="1:24" ht="18.600000000000001" customHeight="1">
      <c r="A56" s="40" t="s">
        <v>10</v>
      </c>
      <c r="B56" s="39"/>
      <c r="C56" s="61"/>
      <c r="D56" s="61"/>
      <c r="E56" s="39">
        <v>0</v>
      </c>
      <c r="F56" s="41">
        <f t="shared" si="33"/>
        <v>0</v>
      </c>
      <c r="G56" s="41"/>
      <c r="H56" s="63"/>
      <c r="I56" s="63"/>
      <c r="J56" s="63"/>
      <c r="K56" s="39">
        <v>0</v>
      </c>
      <c r="L56" s="41">
        <f t="shared" si="34"/>
        <v>0</v>
      </c>
      <c r="M56" s="38"/>
      <c r="N56" s="73"/>
      <c r="O56" s="73"/>
      <c r="P56" s="73"/>
      <c r="Q56" s="74">
        <v>0</v>
      </c>
      <c r="R56" s="75">
        <f t="shared" si="35"/>
        <v>0</v>
      </c>
      <c r="T56" s="64">
        <f t="shared" si="37"/>
        <v>0</v>
      </c>
      <c r="U56" s="64">
        <f t="shared" si="38"/>
        <v>0</v>
      </c>
      <c r="V56" s="64">
        <f t="shared" si="39"/>
        <v>0</v>
      </c>
      <c r="W56" s="39">
        <v>0</v>
      </c>
      <c r="X56" s="41">
        <f t="shared" si="36"/>
        <v>0</v>
      </c>
    </row>
    <row r="57" spans="1:24" ht="18.600000000000001" customHeight="1">
      <c r="A57" s="40" t="s">
        <v>11</v>
      </c>
      <c r="B57" s="39"/>
      <c r="C57" s="61"/>
      <c r="D57" s="61"/>
      <c r="E57" s="39">
        <v>0</v>
      </c>
      <c r="F57" s="41">
        <f t="shared" si="33"/>
        <v>0</v>
      </c>
      <c r="G57" s="41"/>
      <c r="H57" s="63"/>
      <c r="I57" s="63"/>
      <c r="J57" s="63"/>
      <c r="K57" s="39">
        <v>0</v>
      </c>
      <c r="L57" s="41">
        <f t="shared" si="34"/>
        <v>0</v>
      </c>
      <c r="M57" s="38"/>
      <c r="N57" s="64"/>
      <c r="O57" s="64"/>
      <c r="P57" s="64"/>
      <c r="Q57" s="39">
        <v>0</v>
      </c>
      <c r="R57" s="41">
        <f t="shared" si="35"/>
        <v>0</v>
      </c>
      <c r="T57" s="64">
        <f t="shared" si="37"/>
        <v>0</v>
      </c>
      <c r="U57" s="64">
        <f t="shared" si="38"/>
        <v>0</v>
      </c>
      <c r="V57" s="64">
        <f t="shared" si="39"/>
        <v>0</v>
      </c>
      <c r="W57" s="39">
        <v>0</v>
      </c>
      <c r="X57" s="41">
        <f t="shared" si="36"/>
        <v>0</v>
      </c>
    </row>
    <row r="58" spans="1:24" s="62" customFormat="1" ht="18.600000000000001" customHeight="1">
      <c r="A58" s="40" t="s">
        <v>89</v>
      </c>
      <c r="B58" s="96"/>
      <c r="C58" s="96"/>
      <c r="D58" s="96"/>
      <c r="E58" s="96">
        <v>0</v>
      </c>
      <c r="F58" s="96">
        <f>D58*19.2</f>
        <v>0</v>
      </c>
      <c r="G58" s="96"/>
      <c r="H58" s="96"/>
      <c r="I58" s="96"/>
      <c r="J58" s="96"/>
      <c r="K58" s="96">
        <v>0</v>
      </c>
      <c r="L58" s="96">
        <f>J58*19.2</f>
        <v>0</v>
      </c>
      <c r="M58" s="96"/>
      <c r="N58" s="96"/>
      <c r="O58" s="96"/>
      <c r="P58" s="96"/>
      <c r="Q58" s="96">
        <v>0</v>
      </c>
      <c r="R58" s="96">
        <f>P58*19.2</f>
        <v>0</v>
      </c>
      <c r="S58" s="96"/>
      <c r="T58" s="96">
        <f t="shared" si="37"/>
        <v>0</v>
      </c>
      <c r="U58" s="96">
        <f t="shared" ref="U58:U59" si="40">O58+I58+C58</f>
        <v>0</v>
      </c>
      <c r="V58" s="96">
        <f t="shared" ref="V58:V59" si="41">P58+J58+D58</f>
        <v>0</v>
      </c>
      <c r="W58" s="96">
        <v>1</v>
      </c>
      <c r="X58" s="96">
        <f>R58+L58+F58</f>
        <v>0</v>
      </c>
    </row>
    <row r="59" spans="1:24" s="62" customFormat="1" ht="18.600000000000001" customHeight="1">
      <c r="A59" s="40" t="s">
        <v>90</v>
      </c>
      <c r="B59" s="96"/>
      <c r="C59" s="96"/>
      <c r="D59" s="96"/>
      <c r="E59" s="96">
        <v>0</v>
      </c>
      <c r="F59" s="96">
        <f>D59*19.2</f>
        <v>0</v>
      </c>
      <c r="G59" s="96"/>
      <c r="H59" s="96"/>
      <c r="I59" s="96"/>
      <c r="J59" s="96"/>
      <c r="K59" s="96">
        <v>0</v>
      </c>
      <c r="L59" s="96">
        <f>J59*19.2</f>
        <v>0</v>
      </c>
      <c r="M59" s="96"/>
      <c r="N59" s="96"/>
      <c r="O59" s="96"/>
      <c r="P59" s="96"/>
      <c r="Q59" s="96">
        <v>0</v>
      </c>
      <c r="R59" s="96">
        <f>P59*19.2</f>
        <v>0</v>
      </c>
      <c r="S59" s="96"/>
      <c r="T59" s="96">
        <f t="shared" si="37"/>
        <v>0</v>
      </c>
      <c r="U59" s="96">
        <f t="shared" si="40"/>
        <v>0</v>
      </c>
      <c r="V59" s="96">
        <f t="shared" si="41"/>
        <v>0</v>
      </c>
      <c r="W59" s="96">
        <v>2</v>
      </c>
      <c r="X59" s="96">
        <f>R59+L59+F59</f>
        <v>0</v>
      </c>
    </row>
    <row r="60" spans="1:24">
      <c r="F60" s="4">
        <f>SUM(F58:F59)</f>
        <v>0</v>
      </c>
      <c r="L60" s="4">
        <f>SUM(L58:L59)</f>
        <v>0</v>
      </c>
    </row>
    <row r="62" spans="1:24">
      <c r="A62" s="80"/>
      <c r="B62" s="119" t="s">
        <v>156</v>
      </c>
      <c r="C62" s="119"/>
      <c r="D62" s="119"/>
      <c r="E62" s="119"/>
      <c r="F62" s="119"/>
      <c r="G62" s="76"/>
      <c r="H62" s="120" t="s">
        <v>157</v>
      </c>
      <c r="I62" s="121"/>
      <c r="J62" s="121"/>
      <c r="K62" s="121"/>
      <c r="L62" s="122"/>
      <c r="M62" s="38"/>
      <c r="N62" s="120" t="s">
        <v>158</v>
      </c>
      <c r="O62" s="121"/>
      <c r="P62" s="121"/>
      <c r="Q62" s="121"/>
      <c r="R62" s="122"/>
      <c r="T62" s="120" t="s">
        <v>148</v>
      </c>
      <c r="U62" s="121"/>
      <c r="V62" s="121"/>
      <c r="W62" s="121"/>
      <c r="X62" s="122"/>
    </row>
    <row r="63" spans="1:24">
      <c r="A63" s="77"/>
      <c r="B63" s="78" t="s">
        <v>12</v>
      </c>
      <c r="C63" s="78" t="s">
        <v>86</v>
      </c>
      <c r="D63" s="78" t="s">
        <v>48</v>
      </c>
      <c r="E63" s="78" t="s">
        <v>84</v>
      </c>
      <c r="F63" s="78" t="s">
        <v>82</v>
      </c>
      <c r="G63" s="76"/>
      <c r="H63" s="78" t="s">
        <v>12</v>
      </c>
      <c r="I63" s="78" t="s">
        <v>86</v>
      </c>
      <c r="J63" s="78" t="s">
        <v>48</v>
      </c>
      <c r="K63" s="78" t="s">
        <v>84</v>
      </c>
      <c r="L63" s="78" t="s">
        <v>13</v>
      </c>
      <c r="M63" s="38"/>
      <c r="N63" s="91" t="s">
        <v>12</v>
      </c>
      <c r="O63" s="91" t="s">
        <v>86</v>
      </c>
      <c r="P63" s="91" t="s">
        <v>48</v>
      </c>
      <c r="Q63" s="91" t="s">
        <v>84</v>
      </c>
      <c r="R63" s="91" t="s">
        <v>13</v>
      </c>
      <c r="T63" s="78" t="s">
        <v>12</v>
      </c>
      <c r="U63" s="78" t="s">
        <v>86</v>
      </c>
      <c r="V63" s="78" t="s">
        <v>48</v>
      </c>
      <c r="W63" s="78" t="s">
        <v>84</v>
      </c>
      <c r="X63" s="78" t="s">
        <v>13</v>
      </c>
    </row>
    <row r="64" spans="1:24" ht="18.600000000000001" customHeight="1">
      <c r="A64" s="77" t="s">
        <v>0</v>
      </c>
      <c r="B64" s="78"/>
      <c r="C64" s="82"/>
      <c r="D64" s="78"/>
      <c r="E64" s="82">
        <v>0</v>
      </c>
      <c r="F64" s="79">
        <f t="shared" ref="F64:F75" si="42">D64*75</f>
        <v>0</v>
      </c>
      <c r="G64" s="41"/>
      <c r="H64" s="78"/>
      <c r="I64" s="78"/>
      <c r="J64" s="78"/>
      <c r="K64" s="78">
        <v>0</v>
      </c>
      <c r="L64" s="79">
        <f t="shared" ref="L64:L77" si="43">J64*75</f>
        <v>0</v>
      </c>
      <c r="M64" s="38"/>
      <c r="N64" s="81"/>
      <c r="O64" s="81"/>
      <c r="P64" s="81"/>
      <c r="Q64" s="78">
        <v>0</v>
      </c>
      <c r="R64" s="79">
        <f t="shared" ref="R64:R77" si="44">P64*75</f>
        <v>0</v>
      </c>
      <c r="T64" s="81">
        <f>N64+H64+B64</f>
        <v>0</v>
      </c>
      <c r="U64" s="81">
        <f>O64+I64+C64</f>
        <v>0</v>
      </c>
      <c r="V64" s="81">
        <f>P64+J64+D64</f>
        <v>0</v>
      </c>
      <c r="W64" s="78">
        <v>0</v>
      </c>
      <c r="X64" s="79">
        <f>V64*75</f>
        <v>0</v>
      </c>
    </row>
    <row r="65" spans="1:24" ht="18.600000000000001" customHeight="1">
      <c r="A65" s="77" t="s">
        <v>1</v>
      </c>
      <c r="B65" s="78"/>
      <c r="C65" s="82"/>
      <c r="D65" s="82"/>
      <c r="E65" s="82">
        <v>0</v>
      </c>
      <c r="F65" s="79">
        <f t="shared" si="42"/>
        <v>0</v>
      </c>
      <c r="G65" s="41"/>
      <c r="H65" s="78"/>
      <c r="I65" s="78"/>
      <c r="J65" s="87"/>
      <c r="K65" s="87">
        <v>0</v>
      </c>
      <c r="L65" s="79">
        <f t="shared" si="43"/>
        <v>0</v>
      </c>
      <c r="M65" s="38"/>
      <c r="N65" s="81"/>
      <c r="O65" s="81"/>
      <c r="P65" s="81"/>
      <c r="Q65" s="93">
        <v>0</v>
      </c>
      <c r="R65" s="79">
        <f t="shared" si="44"/>
        <v>0</v>
      </c>
      <c r="T65" s="81">
        <f t="shared" ref="T65:T77" si="45">N65+H65+B65</f>
        <v>0</v>
      </c>
      <c r="U65" s="81">
        <f t="shared" ref="U65:U77" si="46">O65+I65+C65</f>
        <v>0</v>
      </c>
      <c r="V65" s="81">
        <f t="shared" ref="V65:V77" si="47">P65+J65+D65</f>
        <v>0</v>
      </c>
      <c r="W65" s="78">
        <v>0</v>
      </c>
      <c r="X65" s="79">
        <f t="shared" ref="X65:X77" si="48">V65*75</f>
        <v>0</v>
      </c>
    </row>
    <row r="66" spans="1:24" ht="18.600000000000001" customHeight="1">
      <c r="A66" s="77" t="s">
        <v>2</v>
      </c>
      <c r="B66" s="78"/>
      <c r="C66" s="82"/>
      <c r="D66" s="82"/>
      <c r="E66" s="82">
        <v>0</v>
      </c>
      <c r="F66" s="79">
        <f t="shared" si="42"/>
        <v>0</v>
      </c>
      <c r="G66" s="41"/>
      <c r="H66" s="78"/>
      <c r="I66" s="78"/>
      <c r="J66" s="87"/>
      <c r="K66" s="87">
        <v>0</v>
      </c>
      <c r="L66" s="79">
        <f t="shared" si="43"/>
        <v>0</v>
      </c>
      <c r="M66" s="38"/>
      <c r="N66" s="81"/>
      <c r="O66" s="81"/>
      <c r="P66" s="81"/>
      <c r="Q66" s="93">
        <v>0</v>
      </c>
      <c r="R66" s="79">
        <f t="shared" si="44"/>
        <v>0</v>
      </c>
      <c r="T66" s="81">
        <f t="shared" si="45"/>
        <v>0</v>
      </c>
      <c r="U66" s="81">
        <f t="shared" si="46"/>
        <v>0</v>
      </c>
      <c r="V66" s="81">
        <f t="shared" si="47"/>
        <v>0</v>
      </c>
      <c r="W66" s="78">
        <v>0</v>
      </c>
      <c r="X66" s="79">
        <f t="shared" si="48"/>
        <v>0</v>
      </c>
    </row>
    <row r="67" spans="1:24" ht="18.600000000000001" customHeight="1">
      <c r="A67" s="77" t="s">
        <v>3</v>
      </c>
      <c r="B67" s="78"/>
      <c r="C67" s="82"/>
      <c r="D67" s="82"/>
      <c r="E67" s="82">
        <v>0</v>
      </c>
      <c r="F67" s="79">
        <f t="shared" si="42"/>
        <v>0</v>
      </c>
      <c r="G67" s="41"/>
      <c r="H67" s="78"/>
      <c r="I67" s="78"/>
      <c r="J67" s="87"/>
      <c r="K67" s="87">
        <v>0</v>
      </c>
      <c r="L67" s="79">
        <f t="shared" si="43"/>
        <v>0</v>
      </c>
      <c r="M67" s="38"/>
      <c r="N67" s="81"/>
      <c r="O67" s="81"/>
      <c r="P67" s="81"/>
      <c r="Q67" s="93">
        <v>0</v>
      </c>
      <c r="R67" s="79">
        <f t="shared" si="44"/>
        <v>0</v>
      </c>
      <c r="T67" s="81">
        <f t="shared" si="45"/>
        <v>0</v>
      </c>
      <c r="U67" s="81">
        <f t="shared" si="46"/>
        <v>0</v>
      </c>
      <c r="V67" s="81">
        <f t="shared" si="47"/>
        <v>0</v>
      </c>
      <c r="W67" s="78">
        <v>0</v>
      </c>
      <c r="X67" s="79">
        <f t="shared" si="48"/>
        <v>0</v>
      </c>
    </row>
    <row r="68" spans="1:24" ht="18.600000000000001" customHeight="1">
      <c r="A68" s="77" t="s">
        <v>4</v>
      </c>
      <c r="B68" s="78"/>
      <c r="C68" s="82"/>
      <c r="D68" s="82"/>
      <c r="E68" s="82">
        <v>0</v>
      </c>
      <c r="F68" s="79">
        <f t="shared" si="42"/>
        <v>0</v>
      </c>
      <c r="G68" s="41"/>
      <c r="H68" s="78"/>
      <c r="I68" s="78"/>
      <c r="J68" s="87"/>
      <c r="K68" s="87">
        <v>0</v>
      </c>
      <c r="L68" s="79">
        <f t="shared" si="43"/>
        <v>0</v>
      </c>
      <c r="M68" s="38"/>
      <c r="N68" s="81"/>
      <c r="O68" s="81"/>
      <c r="P68" s="81"/>
      <c r="Q68" s="93">
        <v>0</v>
      </c>
      <c r="R68" s="79">
        <f t="shared" si="44"/>
        <v>0</v>
      </c>
      <c r="T68" s="81">
        <f t="shared" si="45"/>
        <v>0</v>
      </c>
      <c r="U68" s="81">
        <f t="shared" si="46"/>
        <v>0</v>
      </c>
      <c r="V68" s="81">
        <f t="shared" si="47"/>
        <v>0</v>
      </c>
      <c r="W68" s="78">
        <v>0</v>
      </c>
      <c r="X68" s="79">
        <f t="shared" si="48"/>
        <v>0</v>
      </c>
    </row>
    <row r="69" spans="1:24" ht="18.600000000000001" customHeight="1">
      <c r="A69" s="77" t="s">
        <v>5</v>
      </c>
      <c r="B69" s="78"/>
      <c r="C69" s="82"/>
      <c r="D69" s="82"/>
      <c r="E69" s="82">
        <v>0</v>
      </c>
      <c r="F69" s="79">
        <f t="shared" si="42"/>
        <v>0</v>
      </c>
      <c r="G69" s="41"/>
      <c r="H69" s="78"/>
      <c r="I69" s="78"/>
      <c r="J69" s="87"/>
      <c r="K69" s="87">
        <v>0</v>
      </c>
      <c r="L69" s="79">
        <f t="shared" si="43"/>
        <v>0</v>
      </c>
      <c r="M69" s="38"/>
      <c r="N69" s="81"/>
      <c r="O69" s="81"/>
      <c r="P69" s="81"/>
      <c r="Q69" s="93">
        <v>0</v>
      </c>
      <c r="R69" s="79">
        <f t="shared" si="44"/>
        <v>0</v>
      </c>
      <c r="T69" s="81">
        <f>N69+H69+B69</f>
        <v>0</v>
      </c>
      <c r="U69" s="81">
        <f t="shared" si="46"/>
        <v>0</v>
      </c>
      <c r="V69" s="81">
        <f t="shared" si="47"/>
        <v>0</v>
      </c>
      <c r="W69" s="78">
        <v>0</v>
      </c>
      <c r="X69" s="79">
        <f t="shared" si="48"/>
        <v>0</v>
      </c>
    </row>
    <row r="70" spans="1:24" ht="18.600000000000001" customHeight="1">
      <c r="A70" s="77" t="s">
        <v>6</v>
      </c>
      <c r="B70" s="78"/>
      <c r="C70" s="82"/>
      <c r="D70" s="82"/>
      <c r="E70" s="82">
        <v>0</v>
      </c>
      <c r="F70" s="79">
        <f t="shared" si="42"/>
        <v>0</v>
      </c>
      <c r="G70" s="41"/>
      <c r="H70" s="89"/>
      <c r="I70" s="89"/>
      <c r="J70" s="89"/>
      <c r="K70" s="87">
        <v>0</v>
      </c>
      <c r="L70" s="79">
        <f t="shared" si="43"/>
        <v>0</v>
      </c>
      <c r="M70" s="38"/>
      <c r="N70" s="81"/>
      <c r="O70" s="81"/>
      <c r="P70" s="81"/>
      <c r="Q70" s="93">
        <v>0</v>
      </c>
      <c r="R70" s="79">
        <f t="shared" si="44"/>
        <v>0</v>
      </c>
      <c r="T70" s="81">
        <f t="shared" si="45"/>
        <v>0</v>
      </c>
      <c r="U70" s="81">
        <f t="shared" si="46"/>
        <v>0</v>
      </c>
      <c r="V70" s="81">
        <f t="shared" si="47"/>
        <v>0</v>
      </c>
      <c r="W70" s="78">
        <v>0</v>
      </c>
      <c r="X70" s="79">
        <f t="shared" si="48"/>
        <v>0</v>
      </c>
    </row>
    <row r="71" spans="1:24" ht="18.600000000000001" customHeight="1">
      <c r="A71" s="77" t="s">
        <v>7</v>
      </c>
      <c r="B71" s="78"/>
      <c r="C71" s="82"/>
      <c r="D71" s="82"/>
      <c r="E71" s="82">
        <v>0</v>
      </c>
      <c r="F71" s="79">
        <f t="shared" si="42"/>
        <v>0</v>
      </c>
      <c r="G71" s="41"/>
      <c r="H71" s="78"/>
      <c r="I71" s="78"/>
      <c r="J71" s="87"/>
      <c r="K71" s="87">
        <v>0</v>
      </c>
      <c r="L71" s="79">
        <f t="shared" si="43"/>
        <v>0</v>
      </c>
      <c r="M71" s="38"/>
      <c r="N71" s="81"/>
      <c r="O71" s="81"/>
      <c r="P71" s="81"/>
      <c r="Q71" s="93">
        <v>0</v>
      </c>
      <c r="R71" s="79">
        <f t="shared" si="44"/>
        <v>0</v>
      </c>
      <c r="T71" s="81">
        <f t="shared" si="45"/>
        <v>0</v>
      </c>
      <c r="U71" s="81">
        <f t="shared" si="46"/>
        <v>0</v>
      </c>
      <c r="V71" s="81">
        <f t="shared" si="47"/>
        <v>0</v>
      </c>
      <c r="W71" s="78">
        <v>0</v>
      </c>
      <c r="X71" s="79">
        <f t="shared" si="48"/>
        <v>0</v>
      </c>
    </row>
    <row r="72" spans="1:24" ht="18.600000000000001" customHeight="1">
      <c r="A72" s="77" t="s">
        <v>8</v>
      </c>
      <c r="B72" s="78"/>
      <c r="C72" s="94"/>
      <c r="D72" s="82"/>
      <c r="E72" s="82">
        <v>0</v>
      </c>
      <c r="F72" s="79">
        <f t="shared" si="42"/>
        <v>0</v>
      </c>
      <c r="G72" s="41"/>
      <c r="H72" s="87"/>
      <c r="I72" s="87"/>
      <c r="J72" s="87"/>
      <c r="K72" s="87">
        <v>0</v>
      </c>
      <c r="L72" s="79">
        <f t="shared" si="43"/>
        <v>0</v>
      </c>
      <c r="M72" s="38"/>
      <c r="N72" s="81"/>
      <c r="O72" s="81"/>
      <c r="P72" s="81"/>
      <c r="Q72" s="93">
        <v>0</v>
      </c>
      <c r="R72" s="79">
        <f t="shared" si="44"/>
        <v>0</v>
      </c>
      <c r="T72" s="81">
        <f t="shared" si="45"/>
        <v>0</v>
      </c>
      <c r="U72" s="81">
        <f t="shared" si="46"/>
        <v>0</v>
      </c>
      <c r="V72" s="81">
        <f t="shared" si="47"/>
        <v>0</v>
      </c>
      <c r="W72" s="78">
        <v>0</v>
      </c>
      <c r="X72" s="79">
        <f t="shared" si="48"/>
        <v>0</v>
      </c>
    </row>
    <row r="73" spans="1:24" ht="18.600000000000001" customHeight="1">
      <c r="A73" s="77" t="s">
        <v>9</v>
      </c>
      <c r="B73" s="78"/>
      <c r="C73" s="94"/>
      <c r="D73" s="82"/>
      <c r="E73" s="82">
        <v>0</v>
      </c>
      <c r="F73" s="79">
        <f t="shared" si="42"/>
        <v>0</v>
      </c>
      <c r="G73" s="41"/>
      <c r="H73" s="87"/>
      <c r="I73" s="87"/>
      <c r="J73" s="87"/>
      <c r="K73" s="87">
        <v>0</v>
      </c>
      <c r="L73" s="79">
        <f t="shared" si="43"/>
        <v>0</v>
      </c>
      <c r="M73" s="38"/>
      <c r="N73" s="81"/>
      <c r="O73" s="81"/>
      <c r="P73" s="81"/>
      <c r="Q73" s="93">
        <v>0</v>
      </c>
      <c r="R73" s="79">
        <f t="shared" si="44"/>
        <v>0</v>
      </c>
      <c r="T73" s="81">
        <f t="shared" si="45"/>
        <v>0</v>
      </c>
      <c r="U73" s="81">
        <f t="shared" si="46"/>
        <v>0</v>
      </c>
      <c r="V73" s="81">
        <f t="shared" si="47"/>
        <v>0</v>
      </c>
      <c r="W73" s="78">
        <v>0</v>
      </c>
      <c r="X73" s="79">
        <f t="shared" si="48"/>
        <v>0</v>
      </c>
    </row>
    <row r="74" spans="1:24" ht="18.600000000000001" customHeight="1">
      <c r="A74" s="77" t="s">
        <v>10</v>
      </c>
      <c r="B74" s="78"/>
      <c r="C74" s="94"/>
      <c r="D74" s="82"/>
      <c r="E74" s="82">
        <v>0</v>
      </c>
      <c r="F74" s="79">
        <f t="shared" si="42"/>
        <v>0</v>
      </c>
      <c r="G74" s="41"/>
      <c r="H74" s="78"/>
      <c r="I74" s="78"/>
      <c r="J74" s="87"/>
      <c r="K74" s="87">
        <v>0</v>
      </c>
      <c r="L74" s="79">
        <f t="shared" si="43"/>
        <v>0</v>
      </c>
      <c r="M74" s="38"/>
      <c r="N74" s="92"/>
      <c r="O74" s="92"/>
      <c r="P74" s="81"/>
      <c r="Q74" s="93">
        <v>0</v>
      </c>
      <c r="R74" s="83">
        <f t="shared" si="44"/>
        <v>0</v>
      </c>
      <c r="T74" s="81">
        <f t="shared" si="45"/>
        <v>0</v>
      </c>
      <c r="U74" s="81">
        <f t="shared" si="46"/>
        <v>0</v>
      </c>
      <c r="V74" s="81">
        <f t="shared" si="47"/>
        <v>0</v>
      </c>
      <c r="W74" s="78">
        <v>0</v>
      </c>
      <c r="X74" s="79">
        <f t="shared" si="48"/>
        <v>0</v>
      </c>
    </row>
    <row r="75" spans="1:24" ht="18.600000000000001" customHeight="1">
      <c r="A75" s="77" t="s">
        <v>11</v>
      </c>
      <c r="B75" s="78"/>
      <c r="C75" s="82"/>
      <c r="D75" s="82"/>
      <c r="E75" s="82">
        <v>0</v>
      </c>
      <c r="F75" s="79">
        <f t="shared" si="42"/>
        <v>0</v>
      </c>
      <c r="G75" s="41"/>
      <c r="H75" s="78"/>
      <c r="I75" s="78"/>
      <c r="J75" s="87"/>
      <c r="K75" s="87">
        <v>0</v>
      </c>
      <c r="L75" s="79">
        <f t="shared" si="43"/>
        <v>0</v>
      </c>
      <c r="M75" s="38"/>
      <c r="N75" s="81"/>
      <c r="O75" s="81"/>
      <c r="P75" s="81"/>
      <c r="Q75" s="93">
        <v>0</v>
      </c>
      <c r="R75" s="79">
        <f t="shared" si="44"/>
        <v>0</v>
      </c>
      <c r="T75" s="81">
        <f t="shared" si="45"/>
        <v>0</v>
      </c>
      <c r="U75" s="81">
        <f t="shared" si="46"/>
        <v>0</v>
      </c>
      <c r="V75" s="81">
        <f t="shared" si="47"/>
        <v>0</v>
      </c>
      <c r="W75" s="78">
        <v>0</v>
      </c>
      <c r="X75" s="79">
        <f t="shared" si="48"/>
        <v>0</v>
      </c>
    </row>
    <row r="76" spans="1:24" s="62" customFormat="1" ht="18.600000000000001" customHeight="1">
      <c r="A76" s="77" t="s">
        <v>89</v>
      </c>
      <c r="B76" s="78"/>
      <c r="C76" s="82"/>
      <c r="D76" s="82"/>
      <c r="E76" s="82">
        <v>0</v>
      </c>
      <c r="F76" s="79">
        <f>D76*75</f>
        <v>0</v>
      </c>
      <c r="G76" s="79"/>
      <c r="H76" s="78"/>
      <c r="I76" s="78"/>
      <c r="J76" s="87"/>
      <c r="K76" s="87">
        <v>0</v>
      </c>
      <c r="L76" s="79">
        <f t="shared" si="43"/>
        <v>0</v>
      </c>
      <c r="M76" s="80"/>
      <c r="N76" s="81"/>
      <c r="O76" s="81"/>
      <c r="P76" s="81"/>
      <c r="Q76" s="93">
        <v>0</v>
      </c>
      <c r="R76" s="83">
        <f t="shared" si="44"/>
        <v>0</v>
      </c>
      <c r="S76" s="80"/>
      <c r="T76" s="81">
        <f t="shared" si="45"/>
        <v>0</v>
      </c>
      <c r="U76" s="81">
        <f t="shared" si="46"/>
        <v>0</v>
      </c>
      <c r="V76" s="81">
        <f t="shared" si="47"/>
        <v>0</v>
      </c>
      <c r="W76" s="78">
        <v>1</v>
      </c>
      <c r="X76" s="79">
        <f t="shared" si="48"/>
        <v>0</v>
      </c>
    </row>
    <row r="77" spans="1:24" s="62" customFormat="1" ht="18.600000000000001" customHeight="1">
      <c r="A77" s="77" t="s">
        <v>90</v>
      </c>
      <c r="B77" s="78"/>
      <c r="C77" s="82"/>
      <c r="D77" s="82"/>
      <c r="E77" s="82">
        <v>0</v>
      </c>
      <c r="F77" s="79">
        <f>D77*75</f>
        <v>0</v>
      </c>
      <c r="G77" s="79"/>
      <c r="H77" s="78"/>
      <c r="I77" s="78"/>
      <c r="J77" s="87"/>
      <c r="K77" s="87">
        <v>0</v>
      </c>
      <c r="L77" s="79">
        <f t="shared" si="43"/>
        <v>0</v>
      </c>
      <c r="M77" s="80"/>
      <c r="N77" s="81"/>
      <c r="O77" s="81"/>
      <c r="P77" s="81"/>
      <c r="Q77" s="93">
        <v>0</v>
      </c>
      <c r="R77" s="79">
        <f t="shared" si="44"/>
        <v>0</v>
      </c>
      <c r="S77" s="80"/>
      <c r="T77" s="81">
        <f t="shared" si="45"/>
        <v>0</v>
      </c>
      <c r="U77" s="81">
        <f t="shared" si="46"/>
        <v>0</v>
      </c>
      <c r="V77" s="81">
        <f t="shared" si="47"/>
        <v>0</v>
      </c>
      <c r="W77" s="78">
        <v>2</v>
      </c>
      <c r="X77" s="79">
        <f t="shared" si="48"/>
        <v>0</v>
      </c>
    </row>
    <row r="78" spans="1:24">
      <c r="B78" s="65">
        <f>SUM(B64:B77)</f>
        <v>0</v>
      </c>
      <c r="C78" s="65">
        <f>SUM(C64:C77)</f>
        <v>0</v>
      </c>
      <c r="D78" s="65">
        <f>SUM(D64:D77)</f>
        <v>0</v>
      </c>
      <c r="E78" s="65"/>
      <c r="F78" s="4">
        <f>SUM(F64:F77)</f>
        <v>0</v>
      </c>
      <c r="G78" s="65"/>
      <c r="H78" s="65">
        <f>SUM(H64:H77)</f>
        <v>0</v>
      </c>
      <c r="I78" s="65">
        <f>SUM(I64:I77)</f>
        <v>0</v>
      </c>
      <c r="J78" s="65">
        <f>SUM(J64:J77)</f>
        <v>0</v>
      </c>
      <c r="K78" s="65"/>
      <c r="L78" s="4">
        <f>SUM(L64:L77)</f>
        <v>0</v>
      </c>
      <c r="N78" s="88">
        <f>SUM(N64:N77)</f>
        <v>0</v>
      </c>
      <c r="O78" s="88">
        <f t="shared" ref="O78:P78" si="49">SUM(O64:O77)</f>
        <v>0</v>
      </c>
      <c r="P78" s="88">
        <f t="shared" si="49"/>
        <v>0</v>
      </c>
      <c r="R78" s="84">
        <f>SUM(R64:R77)</f>
        <v>0</v>
      </c>
      <c r="T78" s="88">
        <f>SUM(T64:T77)</f>
        <v>0</v>
      </c>
      <c r="U78" s="88">
        <f>SUM(U64:U77)</f>
        <v>0</v>
      </c>
      <c r="X78" s="84">
        <f>SUM(X64:X77)</f>
        <v>0</v>
      </c>
    </row>
    <row r="79" spans="1:24">
      <c r="X79" s="88">
        <f>(X78/75)</f>
        <v>0</v>
      </c>
    </row>
    <row r="81" spans="24:24">
      <c r="X81">
        <v>29963</v>
      </c>
    </row>
    <row r="82" spans="24:24">
      <c r="X82" s="84">
        <f>X81-X78</f>
        <v>29963</v>
      </c>
    </row>
    <row r="83" spans="24:24">
      <c r="X83" s="88">
        <f>X82/75</f>
        <v>399.50666666666666</v>
      </c>
    </row>
  </sheetData>
  <mergeCells count="16">
    <mergeCell ref="B7:F7"/>
    <mergeCell ref="H7:L7"/>
    <mergeCell ref="N7:R7"/>
    <mergeCell ref="T7:X7"/>
    <mergeCell ref="T26:X26"/>
    <mergeCell ref="T44:X44"/>
    <mergeCell ref="H26:L26"/>
    <mergeCell ref="B26:F26"/>
    <mergeCell ref="N26:R26"/>
    <mergeCell ref="B62:F62"/>
    <mergeCell ref="H62:L62"/>
    <mergeCell ref="N62:R62"/>
    <mergeCell ref="T62:X62"/>
    <mergeCell ref="B44:F44"/>
    <mergeCell ref="H44:L44"/>
    <mergeCell ref="N44:R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C6A3-3D38-499A-BFA1-B041BE290886}">
  <dimension ref="A1:K41"/>
  <sheetViews>
    <sheetView topLeftCell="A21" zoomScale="96" zoomScaleNormal="96" workbookViewId="0">
      <selection activeCell="G33" sqref="G33:G35"/>
    </sheetView>
  </sheetViews>
  <sheetFormatPr defaultRowHeight="16.2"/>
  <cols>
    <col min="1" max="1" width="18.109375" style="2" customWidth="1"/>
    <col min="2" max="2" width="12.21875" style="2" customWidth="1"/>
    <col min="3" max="3" width="10.5546875" style="2" customWidth="1"/>
    <col min="4" max="4" width="18.109375" style="2" customWidth="1"/>
    <col min="5" max="5" width="5.5546875" style="2" customWidth="1"/>
    <col min="6" max="9" width="18.109375" style="2" customWidth="1"/>
    <col min="10" max="10" width="49.5546875" style="72" customWidth="1"/>
    <col min="11" max="11" width="18.88671875" style="2" customWidth="1"/>
    <col min="12" max="12" width="18.88671875" customWidth="1"/>
  </cols>
  <sheetData>
    <row r="1" spans="1:11">
      <c r="A1" s="2" t="s">
        <v>133</v>
      </c>
      <c r="B1" s="2" t="s">
        <v>122</v>
      </c>
      <c r="C1" s="2" t="s">
        <v>123</v>
      </c>
      <c r="D1" s="2" t="s">
        <v>81</v>
      </c>
      <c r="E1" s="2" t="s">
        <v>88</v>
      </c>
      <c r="F1" s="2" t="s">
        <v>12</v>
      </c>
      <c r="G1" s="2" t="s">
        <v>83</v>
      </c>
      <c r="H1" s="2" t="s">
        <v>84</v>
      </c>
      <c r="I1" s="2" t="s">
        <v>82</v>
      </c>
      <c r="J1" s="72" t="s">
        <v>124</v>
      </c>
      <c r="K1" s="2" t="s">
        <v>125</v>
      </c>
    </row>
    <row r="2" spans="1:11" s="38" customFormat="1">
      <c r="A2" s="106" t="s">
        <v>73</v>
      </c>
      <c r="B2" s="106"/>
      <c r="C2" s="106">
        <v>1</v>
      </c>
      <c r="D2" s="106" t="s">
        <v>159</v>
      </c>
      <c r="E2" s="106">
        <v>3</v>
      </c>
      <c r="F2" s="106">
        <v>3</v>
      </c>
      <c r="G2" s="106">
        <f t="shared" ref="G2:G41" si="0">F2*75</f>
        <v>225</v>
      </c>
      <c r="H2" s="106">
        <v>0</v>
      </c>
      <c r="I2" s="106">
        <v>225</v>
      </c>
      <c r="J2" s="107" t="s">
        <v>194</v>
      </c>
      <c r="K2" s="60" t="s">
        <v>239</v>
      </c>
    </row>
    <row r="3" spans="1:11" s="38" customFormat="1">
      <c r="A3" s="36" t="s">
        <v>60</v>
      </c>
      <c r="B3" s="36"/>
      <c r="C3" s="36">
        <v>1</v>
      </c>
      <c r="D3" s="36" t="s">
        <v>159</v>
      </c>
      <c r="E3" s="36">
        <v>2</v>
      </c>
      <c r="F3" s="36">
        <v>5</v>
      </c>
      <c r="G3" s="36">
        <f t="shared" si="0"/>
        <v>375</v>
      </c>
      <c r="H3" s="36">
        <v>0</v>
      </c>
      <c r="I3" s="36">
        <v>375</v>
      </c>
      <c r="J3" s="105" t="s">
        <v>193</v>
      </c>
      <c r="K3" s="60" t="s">
        <v>230</v>
      </c>
    </row>
    <row r="4" spans="1:11" s="38" customFormat="1">
      <c r="A4" s="40" t="s">
        <v>49</v>
      </c>
      <c r="B4" s="40"/>
      <c r="C4" s="40">
        <v>1</v>
      </c>
      <c r="D4" s="40" t="s">
        <v>159</v>
      </c>
      <c r="E4" s="40">
        <v>1</v>
      </c>
      <c r="F4" s="40">
        <v>3</v>
      </c>
      <c r="G4" s="103">
        <f t="shared" si="0"/>
        <v>225</v>
      </c>
      <c r="H4" s="40">
        <v>0</v>
      </c>
      <c r="I4" s="40">
        <v>225</v>
      </c>
      <c r="J4" s="85" t="s">
        <v>192</v>
      </c>
      <c r="K4" s="60" t="s">
        <v>249</v>
      </c>
    </row>
    <row r="5" spans="1:11" s="38" customFormat="1">
      <c r="A5" s="106" t="s">
        <v>74</v>
      </c>
      <c r="B5" s="106"/>
      <c r="C5" s="106">
        <v>2</v>
      </c>
      <c r="D5" s="106" t="s">
        <v>160</v>
      </c>
      <c r="E5" s="106">
        <v>3</v>
      </c>
      <c r="F5" s="106">
        <v>3</v>
      </c>
      <c r="G5" s="106">
        <f t="shared" si="0"/>
        <v>225</v>
      </c>
      <c r="H5" s="106">
        <v>0</v>
      </c>
      <c r="I5" s="106">
        <v>225</v>
      </c>
      <c r="J5" s="107" t="s">
        <v>197</v>
      </c>
      <c r="K5" s="60" t="s">
        <v>240</v>
      </c>
    </row>
    <row r="6" spans="1:11" s="38" customFormat="1" ht="15.6" customHeight="1">
      <c r="A6" s="36" t="s">
        <v>61</v>
      </c>
      <c r="B6" s="36"/>
      <c r="C6" s="36">
        <v>2</v>
      </c>
      <c r="D6" s="36" t="s">
        <v>160</v>
      </c>
      <c r="E6" s="36">
        <v>2</v>
      </c>
      <c r="F6" s="36">
        <v>12</v>
      </c>
      <c r="G6" s="36">
        <f t="shared" si="0"/>
        <v>900</v>
      </c>
      <c r="H6" s="36">
        <v>0</v>
      </c>
      <c r="I6" s="36">
        <v>900</v>
      </c>
      <c r="J6" s="105" t="s">
        <v>196</v>
      </c>
      <c r="K6" s="60" t="s">
        <v>231</v>
      </c>
    </row>
    <row r="7" spans="1:11" s="38" customFormat="1">
      <c r="A7" s="40" t="s">
        <v>134</v>
      </c>
      <c r="B7" s="40"/>
      <c r="C7" s="40">
        <v>2</v>
      </c>
      <c r="D7" s="40" t="s">
        <v>160</v>
      </c>
      <c r="E7" s="40">
        <v>1</v>
      </c>
      <c r="F7" s="40">
        <v>22</v>
      </c>
      <c r="G7" s="103">
        <f t="shared" si="0"/>
        <v>1650</v>
      </c>
      <c r="H7" s="40">
        <v>0</v>
      </c>
      <c r="I7" s="40">
        <v>1650</v>
      </c>
      <c r="J7" s="85" t="s">
        <v>195</v>
      </c>
      <c r="K7" s="60" t="s">
        <v>217</v>
      </c>
    </row>
    <row r="8" spans="1:11" s="38" customFormat="1">
      <c r="A8" s="106" t="s">
        <v>75</v>
      </c>
      <c r="B8" s="106"/>
      <c r="C8" s="106">
        <v>3</v>
      </c>
      <c r="D8" s="106" t="s">
        <v>161</v>
      </c>
      <c r="E8" s="106">
        <v>3</v>
      </c>
      <c r="F8" s="106">
        <v>14.5</v>
      </c>
      <c r="G8" s="106">
        <f t="shared" si="0"/>
        <v>1087.5</v>
      </c>
      <c r="H8" s="106">
        <v>0</v>
      </c>
      <c r="I8" s="106">
        <v>1087.5</v>
      </c>
      <c r="J8" s="107" t="s">
        <v>200</v>
      </c>
      <c r="K8" s="60" t="s">
        <v>241</v>
      </c>
    </row>
    <row r="9" spans="1:11" s="38" customFormat="1">
      <c r="A9" s="36" t="s">
        <v>62</v>
      </c>
      <c r="B9" s="36"/>
      <c r="C9" s="36">
        <v>3</v>
      </c>
      <c r="D9" s="36" t="s">
        <v>161</v>
      </c>
      <c r="E9" s="36">
        <v>2</v>
      </c>
      <c r="F9" s="36">
        <v>12</v>
      </c>
      <c r="G9" s="36">
        <f t="shared" si="0"/>
        <v>900</v>
      </c>
      <c r="H9" s="36">
        <v>0</v>
      </c>
      <c r="I9" s="36">
        <v>900</v>
      </c>
      <c r="J9" s="105" t="s">
        <v>199</v>
      </c>
      <c r="K9" s="60" t="s">
        <v>232</v>
      </c>
    </row>
    <row r="10" spans="1:11" s="38" customFormat="1">
      <c r="A10" s="40" t="s">
        <v>135</v>
      </c>
      <c r="B10" s="40"/>
      <c r="C10" s="40">
        <v>3</v>
      </c>
      <c r="D10" s="40" t="s">
        <v>161</v>
      </c>
      <c r="E10" s="40">
        <v>1</v>
      </c>
      <c r="F10" s="40">
        <v>3</v>
      </c>
      <c r="G10" s="103">
        <f t="shared" si="0"/>
        <v>225</v>
      </c>
      <c r="H10" s="40">
        <v>0</v>
      </c>
      <c r="I10" s="40">
        <v>225</v>
      </c>
      <c r="J10" s="85" t="s">
        <v>198</v>
      </c>
      <c r="K10" s="60" t="s">
        <v>218</v>
      </c>
    </row>
    <row r="11" spans="1:11" s="38" customFormat="1">
      <c r="A11" s="106" t="s">
        <v>76</v>
      </c>
      <c r="B11" s="106"/>
      <c r="C11" s="106">
        <v>4</v>
      </c>
      <c r="D11" s="106" t="s">
        <v>162</v>
      </c>
      <c r="E11" s="106">
        <v>3</v>
      </c>
      <c r="F11" s="106">
        <v>12</v>
      </c>
      <c r="G11" s="106">
        <f t="shared" si="0"/>
        <v>900</v>
      </c>
      <c r="H11" s="106">
        <v>0</v>
      </c>
      <c r="I11" s="106">
        <v>900</v>
      </c>
      <c r="J11" s="107" t="s">
        <v>203</v>
      </c>
      <c r="K11" s="60" t="s">
        <v>242</v>
      </c>
    </row>
    <row r="12" spans="1:11" s="38" customFormat="1">
      <c r="A12" s="36" t="s">
        <v>63</v>
      </c>
      <c r="B12" s="36"/>
      <c r="C12" s="36">
        <v>4</v>
      </c>
      <c r="D12" s="36" t="s">
        <v>162</v>
      </c>
      <c r="E12" s="36">
        <v>2</v>
      </c>
      <c r="F12" s="36">
        <v>16</v>
      </c>
      <c r="G12" s="36">
        <f t="shared" si="0"/>
        <v>1200</v>
      </c>
      <c r="H12" s="36">
        <v>0</v>
      </c>
      <c r="I12" s="36">
        <v>1200</v>
      </c>
      <c r="J12" s="105" t="s">
        <v>202</v>
      </c>
      <c r="K12" s="60" t="s">
        <v>250</v>
      </c>
    </row>
    <row r="13" spans="1:11">
      <c r="A13" s="40" t="s">
        <v>136</v>
      </c>
      <c r="B13" s="40"/>
      <c r="C13" s="40">
        <v>4</v>
      </c>
      <c r="D13" s="40" t="s">
        <v>162</v>
      </c>
      <c r="E13" s="40">
        <v>1</v>
      </c>
      <c r="F13" s="40">
        <v>8</v>
      </c>
      <c r="G13" s="103">
        <f t="shared" si="0"/>
        <v>600</v>
      </c>
      <c r="H13" s="40">
        <v>0</v>
      </c>
      <c r="I13" s="40">
        <v>600</v>
      </c>
      <c r="J13" s="85" t="s">
        <v>201</v>
      </c>
      <c r="K13" s="60" t="s">
        <v>219</v>
      </c>
    </row>
    <row r="14" spans="1:11">
      <c r="A14" s="106" t="s">
        <v>77</v>
      </c>
      <c r="B14" s="106"/>
      <c r="C14" s="106">
        <v>5</v>
      </c>
      <c r="D14" s="106" t="s">
        <v>163</v>
      </c>
      <c r="E14" s="106">
        <v>3</v>
      </c>
      <c r="F14" s="106">
        <v>14.5</v>
      </c>
      <c r="G14" s="106">
        <f t="shared" si="0"/>
        <v>1087.5</v>
      </c>
      <c r="H14" s="106">
        <v>0</v>
      </c>
      <c r="I14" s="106">
        <v>1087.5</v>
      </c>
      <c r="J14" s="107" t="s">
        <v>206</v>
      </c>
      <c r="K14" s="60" t="s">
        <v>243</v>
      </c>
    </row>
    <row r="15" spans="1:11">
      <c r="A15" s="36" t="s">
        <v>64</v>
      </c>
      <c r="B15" s="36"/>
      <c r="C15" s="36">
        <v>5</v>
      </c>
      <c r="D15" s="36" t="s">
        <v>163</v>
      </c>
      <c r="E15" s="36">
        <v>2</v>
      </c>
      <c r="F15" s="36">
        <v>3</v>
      </c>
      <c r="G15" s="36">
        <f t="shared" si="0"/>
        <v>225</v>
      </c>
      <c r="H15" s="36">
        <v>0</v>
      </c>
      <c r="I15" s="36">
        <v>225</v>
      </c>
      <c r="J15" s="105" t="s">
        <v>205</v>
      </c>
      <c r="K15" s="60" t="s">
        <v>233</v>
      </c>
    </row>
    <row r="16" spans="1:11" s="34" customFormat="1">
      <c r="A16" s="40" t="s">
        <v>50</v>
      </c>
      <c r="B16" s="40"/>
      <c r="C16" s="40">
        <v>5</v>
      </c>
      <c r="D16" s="40" t="s">
        <v>163</v>
      </c>
      <c r="E16" s="40">
        <v>1</v>
      </c>
      <c r="F16" s="40">
        <v>5.5</v>
      </c>
      <c r="G16" s="103">
        <f t="shared" si="0"/>
        <v>412.5</v>
      </c>
      <c r="H16" s="40">
        <v>0</v>
      </c>
      <c r="I16" s="40">
        <v>412.5</v>
      </c>
      <c r="J16" s="85" t="s">
        <v>204</v>
      </c>
      <c r="K16" s="60" t="s">
        <v>220</v>
      </c>
    </row>
    <row r="17" spans="1:11" s="34" customFormat="1">
      <c r="A17" s="106" t="s">
        <v>78</v>
      </c>
      <c r="B17" s="106"/>
      <c r="C17" s="106">
        <v>6</v>
      </c>
      <c r="D17" s="106" t="s">
        <v>164</v>
      </c>
      <c r="E17" s="106">
        <v>3</v>
      </c>
      <c r="F17" s="106">
        <v>7</v>
      </c>
      <c r="G17" s="106">
        <f t="shared" si="0"/>
        <v>525</v>
      </c>
      <c r="H17" s="106">
        <v>0</v>
      </c>
      <c r="I17" s="106">
        <v>525</v>
      </c>
      <c r="J17" s="107" t="s">
        <v>209</v>
      </c>
      <c r="K17" s="60" t="s">
        <v>244</v>
      </c>
    </row>
    <row r="18" spans="1:11" s="34" customFormat="1">
      <c r="A18" s="36" t="s">
        <v>65</v>
      </c>
      <c r="B18" s="36"/>
      <c r="C18" s="36">
        <v>6</v>
      </c>
      <c r="D18" s="36" t="s">
        <v>164</v>
      </c>
      <c r="E18" s="36">
        <v>2</v>
      </c>
      <c r="F18" s="36">
        <v>5</v>
      </c>
      <c r="G18" s="36">
        <f t="shared" si="0"/>
        <v>375</v>
      </c>
      <c r="H18" s="36">
        <v>0</v>
      </c>
      <c r="I18" s="36">
        <v>375</v>
      </c>
      <c r="J18" s="105" t="s">
        <v>208</v>
      </c>
      <c r="K18" s="60" t="s">
        <v>234</v>
      </c>
    </row>
    <row r="19" spans="1:11" s="34" customFormat="1">
      <c r="A19" s="40" t="s">
        <v>51</v>
      </c>
      <c r="B19" s="40"/>
      <c r="C19" s="40">
        <v>6</v>
      </c>
      <c r="D19" s="40" t="s">
        <v>164</v>
      </c>
      <c r="E19" s="40">
        <v>1</v>
      </c>
      <c r="F19" s="40">
        <v>22</v>
      </c>
      <c r="G19" s="103">
        <f t="shared" si="0"/>
        <v>1650</v>
      </c>
      <c r="H19" s="40">
        <v>0</v>
      </c>
      <c r="I19" s="40">
        <v>1650</v>
      </c>
      <c r="J19" s="85" t="s">
        <v>207</v>
      </c>
      <c r="K19" s="60" t="s">
        <v>221</v>
      </c>
    </row>
    <row r="20" spans="1:11" s="34" customFormat="1">
      <c r="A20" s="106" t="s">
        <v>79</v>
      </c>
      <c r="B20" s="106"/>
      <c r="C20" s="106">
        <v>7</v>
      </c>
      <c r="D20" s="106" t="s">
        <v>165</v>
      </c>
      <c r="E20" s="106">
        <v>3</v>
      </c>
      <c r="F20" s="106">
        <v>18.5</v>
      </c>
      <c r="G20" s="106">
        <f t="shared" si="0"/>
        <v>1387.5</v>
      </c>
      <c r="H20" s="106">
        <v>0</v>
      </c>
      <c r="I20" s="106">
        <v>1387.5</v>
      </c>
      <c r="J20" s="107" t="s">
        <v>212</v>
      </c>
      <c r="K20" s="60" t="s">
        <v>254</v>
      </c>
    </row>
    <row r="21" spans="1:11" s="34" customFormat="1">
      <c r="A21" s="36" t="s">
        <v>66</v>
      </c>
      <c r="B21" s="36"/>
      <c r="C21" s="36">
        <v>7</v>
      </c>
      <c r="D21" s="36" t="s">
        <v>165</v>
      </c>
      <c r="E21" s="36">
        <v>2</v>
      </c>
      <c r="F21" s="36">
        <v>7</v>
      </c>
      <c r="G21" s="36">
        <f t="shared" si="0"/>
        <v>525</v>
      </c>
      <c r="H21" s="36">
        <v>0</v>
      </c>
      <c r="I21" s="36">
        <v>525</v>
      </c>
      <c r="J21" s="105" t="s">
        <v>211</v>
      </c>
      <c r="K21" s="60" t="s">
        <v>251</v>
      </c>
    </row>
    <row r="22" spans="1:11" s="34" customFormat="1">
      <c r="A22" s="40" t="s">
        <v>52</v>
      </c>
      <c r="B22" s="40"/>
      <c r="C22" s="40">
        <v>7</v>
      </c>
      <c r="D22" s="40" t="s">
        <v>165</v>
      </c>
      <c r="E22" s="40">
        <v>1</v>
      </c>
      <c r="F22" s="40">
        <v>3</v>
      </c>
      <c r="G22" s="103">
        <f t="shared" si="0"/>
        <v>225</v>
      </c>
      <c r="H22" s="40">
        <v>0</v>
      </c>
      <c r="I22" s="40">
        <v>225</v>
      </c>
      <c r="J22" s="85" t="s">
        <v>210</v>
      </c>
      <c r="K22" s="60" t="s">
        <v>222</v>
      </c>
    </row>
    <row r="23" spans="1:11" s="34" customFormat="1">
      <c r="A23" s="106" t="s">
        <v>80</v>
      </c>
      <c r="B23" s="106"/>
      <c r="C23" s="106">
        <v>8</v>
      </c>
      <c r="D23" s="106" t="s">
        <v>166</v>
      </c>
      <c r="E23" s="106">
        <v>3</v>
      </c>
      <c r="F23" s="106">
        <v>3</v>
      </c>
      <c r="G23" s="106">
        <f t="shared" si="0"/>
        <v>225</v>
      </c>
      <c r="H23" s="106">
        <v>0</v>
      </c>
      <c r="I23" s="106">
        <v>225</v>
      </c>
      <c r="J23" s="107" t="s">
        <v>215</v>
      </c>
      <c r="K23" s="60" t="s">
        <v>245</v>
      </c>
    </row>
    <row r="24" spans="1:11" s="34" customFormat="1">
      <c r="A24" s="36" t="s">
        <v>67</v>
      </c>
      <c r="B24" s="36"/>
      <c r="C24" s="36">
        <v>8</v>
      </c>
      <c r="D24" s="36" t="s">
        <v>166</v>
      </c>
      <c r="E24" s="36">
        <v>2</v>
      </c>
      <c r="F24" s="36">
        <v>5</v>
      </c>
      <c r="G24" s="36">
        <f t="shared" si="0"/>
        <v>375</v>
      </c>
      <c r="H24" s="36">
        <v>0</v>
      </c>
      <c r="I24" s="36">
        <v>375</v>
      </c>
      <c r="J24" s="105" t="s">
        <v>214</v>
      </c>
      <c r="K24" s="60" t="s">
        <v>235</v>
      </c>
    </row>
    <row r="25" spans="1:11" s="34" customFormat="1">
      <c r="A25" s="40" t="s">
        <v>53</v>
      </c>
      <c r="B25" s="40"/>
      <c r="C25" s="40">
        <v>8</v>
      </c>
      <c r="D25" s="40" t="s">
        <v>166</v>
      </c>
      <c r="E25" s="40">
        <v>1</v>
      </c>
      <c r="F25" s="40">
        <v>22</v>
      </c>
      <c r="G25" s="103">
        <f t="shared" si="0"/>
        <v>1650</v>
      </c>
      <c r="H25" s="40">
        <v>0</v>
      </c>
      <c r="I25" s="40">
        <v>1650</v>
      </c>
      <c r="J25" s="85" t="s">
        <v>213</v>
      </c>
      <c r="K25" s="60" t="s">
        <v>223</v>
      </c>
    </row>
    <row r="26" spans="1:11" s="34" customFormat="1">
      <c r="A26" s="40" t="s">
        <v>54</v>
      </c>
      <c r="B26" s="40"/>
      <c r="C26" s="40">
        <v>9</v>
      </c>
      <c r="D26" s="40" t="s">
        <v>167</v>
      </c>
      <c r="E26" s="40">
        <v>1</v>
      </c>
      <c r="F26" s="40">
        <v>6</v>
      </c>
      <c r="G26" s="103">
        <f t="shared" si="0"/>
        <v>450</v>
      </c>
      <c r="H26" s="40">
        <v>0</v>
      </c>
      <c r="I26" s="40">
        <v>450</v>
      </c>
      <c r="J26" s="85" t="s">
        <v>216</v>
      </c>
      <c r="K26" s="60" t="s">
        <v>224</v>
      </c>
    </row>
    <row r="27" spans="1:11" s="34" customFormat="1">
      <c r="A27" s="106" t="s">
        <v>138</v>
      </c>
      <c r="B27" s="106"/>
      <c r="C27" s="106">
        <v>10</v>
      </c>
      <c r="D27" s="106" t="s">
        <v>168</v>
      </c>
      <c r="E27" s="106">
        <v>3</v>
      </c>
      <c r="F27" s="106">
        <v>4</v>
      </c>
      <c r="G27" s="106">
        <f t="shared" si="0"/>
        <v>300</v>
      </c>
      <c r="H27" s="106">
        <v>0</v>
      </c>
      <c r="I27" s="106">
        <v>300</v>
      </c>
      <c r="J27" s="107" t="s">
        <v>179</v>
      </c>
      <c r="K27" s="60" t="s">
        <v>246</v>
      </c>
    </row>
    <row r="28" spans="1:11" s="34" customFormat="1">
      <c r="A28" s="36" t="s">
        <v>68</v>
      </c>
      <c r="B28" s="36"/>
      <c r="C28" s="36">
        <v>10</v>
      </c>
      <c r="D28" s="36" t="s">
        <v>168</v>
      </c>
      <c r="E28" s="36">
        <v>2</v>
      </c>
      <c r="F28" s="36">
        <v>7.5</v>
      </c>
      <c r="G28" s="36">
        <f t="shared" si="0"/>
        <v>562.5</v>
      </c>
      <c r="H28" s="36">
        <v>0</v>
      </c>
      <c r="I28" s="36">
        <v>562.5</v>
      </c>
      <c r="J28" s="105" t="s">
        <v>178</v>
      </c>
      <c r="K28" s="60" t="s">
        <v>252</v>
      </c>
    </row>
    <row r="29" spans="1:11" s="108" customFormat="1">
      <c r="A29" s="40" t="s">
        <v>55</v>
      </c>
      <c r="B29" s="40"/>
      <c r="C29" s="40">
        <v>10</v>
      </c>
      <c r="D29" s="40" t="s">
        <v>168</v>
      </c>
      <c r="E29" s="40">
        <v>1</v>
      </c>
      <c r="F29" s="40">
        <v>3.5</v>
      </c>
      <c r="G29" s="103">
        <f t="shared" si="0"/>
        <v>262.5</v>
      </c>
      <c r="H29" s="40">
        <v>0</v>
      </c>
      <c r="I29" s="40">
        <v>262.5</v>
      </c>
      <c r="J29" s="85" t="s">
        <v>177</v>
      </c>
      <c r="K29" s="60" t="s">
        <v>225</v>
      </c>
    </row>
    <row r="30" spans="1:11" s="108" customFormat="1">
      <c r="A30" s="106" t="s">
        <v>139</v>
      </c>
      <c r="B30" s="106"/>
      <c r="C30" s="106">
        <v>11</v>
      </c>
      <c r="D30" s="106" t="s">
        <v>169</v>
      </c>
      <c r="E30" s="106">
        <v>3</v>
      </c>
      <c r="F30" s="106">
        <v>5</v>
      </c>
      <c r="G30" s="106">
        <f t="shared" si="0"/>
        <v>375</v>
      </c>
      <c r="H30" s="106">
        <v>0</v>
      </c>
      <c r="I30" s="106">
        <v>375</v>
      </c>
      <c r="J30" s="107" t="s">
        <v>182</v>
      </c>
      <c r="K30" s="60" t="s">
        <v>256</v>
      </c>
    </row>
    <row r="31" spans="1:11" s="108" customFormat="1">
      <c r="A31" s="36" t="s">
        <v>69</v>
      </c>
      <c r="B31" s="36"/>
      <c r="C31" s="36">
        <v>11</v>
      </c>
      <c r="D31" s="36" t="s">
        <v>169</v>
      </c>
      <c r="E31" s="36">
        <v>2</v>
      </c>
      <c r="F31" s="36">
        <v>12</v>
      </c>
      <c r="G31" s="36">
        <f t="shared" si="0"/>
        <v>900</v>
      </c>
      <c r="H31" s="36">
        <v>0</v>
      </c>
      <c r="I31" s="36">
        <v>900</v>
      </c>
      <c r="J31" s="105" t="s">
        <v>181</v>
      </c>
      <c r="K31" s="60" t="s">
        <v>236</v>
      </c>
    </row>
    <row r="32" spans="1:11" s="108" customFormat="1">
      <c r="A32" s="40" t="s">
        <v>56</v>
      </c>
      <c r="B32" s="40"/>
      <c r="C32" s="40">
        <v>11</v>
      </c>
      <c r="D32" s="40" t="s">
        <v>169</v>
      </c>
      <c r="E32" s="40">
        <v>1</v>
      </c>
      <c r="F32" s="40">
        <v>29</v>
      </c>
      <c r="G32" s="103">
        <f t="shared" si="0"/>
        <v>2175</v>
      </c>
      <c r="H32" s="40">
        <v>0</v>
      </c>
      <c r="I32" s="40">
        <v>2175</v>
      </c>
      <c r="J32" s="85" t="s">
        <v>180</v>
      </c>
      <c r="K32" s="60" t="s">
        <v>226</v>
      </c>
    </row>
    <row r="33" spans="1:11" s="108" customFormat="1">
      <c r="A33" s="106" t="s">
        <v>171</v>
      </c>
      <c r="B33" s="106"/>
      <c r="C33" s="106">
        <v>12</v>
      </c>
      <c r="D33" s="106" t="s">
        <v>170</v>
      </c>
      <c r="E33" s="106">
        <v>3</v>
      </c>
      <c r="F33" s="106">
        <v>3</v>
      </c>
      <c r="G33" s="106">
        <f t="shared" si="0"/>
        <v>225</v>
      </c>
      <c r="H33" s="106">
        <v>0</v>
      </c>
      <c r="I33" s="106">
        <v>225</v>
      </c>
      <c r="J33" s="107" t="s">
        <v>185</v>
      </c>
      <c r="K33" s="60" t="s">
        <v>255</v>
      </c>
    </row>
    <row r="34" spans="1:11" s="108" customFormat="1">
      <c r="A34" s="36" t="s">
        <v>70</v>
      </c>
      <c r="B34" s="36"/>
      <c r="C34" s="36">
        <v>12</v>
      </c>
      <c r="D34" s="36" t="s">
        <v>170</v>
      </c>
      <c r="E34" s="36">
        <v>2</v>
      </c>
      <c r="F34" s="36">
        <v>3</v>
      </c>
      <c r="G34" s="36">
        <f t="shared" si="0"/>
        <v>225</v>
      </c>
      <c r="H34" s="36">
        <v>0</v>
      </c>
      <c r="I34" s="36">
        <v>225</v>
      </c>
      <c r="J34" s="105" t="s">
        <v>184</v>
      </c>
      <c r="K34" s="60" t="s">
        <v>237</v>
      </c>
    </row>
    <row r="35" spans="1:11" s="108" customFormat="1">
      <c r="A35" s="40" t="s">
        <v>57</v>
      </c>
      <c r="B35" s="40" t="s">
        <v>137</v>
      </c>
      <c r="C35" s="40">
        <v>12</v>
      </c>
      <c r="D35" s="40" t="s">
        <v>170</v>
      </c>
      <c r="E35" s="40">
        <v>1</v>
      </c>
      <c r="F35" s="40">
        <v>3</v>
      </c>
      <c r="G35" s="103">
        <f t="shared" si="0"/>
        <v>225</v>
      </c>
      <c r="H35" s="40">
        <v>0</v>
      </c>
      <c r="I35" s="40">
        <v>225</v>
      </c>
      <c r="J35" s="85" t="s">
        <v>183</v>
      </c>
      <c r="K35" s="60" t="s">
        <v>227</v>
      </c>
    </row>
    <row r="36" spans="1:11" s="108" customFormat="1">
      <c r="A36" s="106" t="s">
        <v>172</v>
      </c>
      <c r="B36" s="106"/>
      <c r="C36" s="106">
        <v>13</v>
      </c>
      <c r="D36" s="106" t="s">
        <v>126</v>
      </c>
      <c r="E36" s="106">
        <v>3</v>
      </c>
      <c r="F36" s="106">
        <v>3</v>
      </c>
      <c r="G36" s="106">
        <f t="shared" si="0"/>
        <v>225</v>
      </c>
      <c r="H36" s="106">
        <v>0</v>
      </c>
      <c r="I36" s="106">
        <v>225</v>
      </c>
      <c r="J36" s="107" t="s">
        <v>188</v>
      </c>
      <c r="K36" s="60" t="s">
        <v>247</v>
      </c>
    </row>
    <row r="37" spans="1:11" s="108" customFormat="1">
      <c r="A37" s="36" t="s">
        <v>71</v>
      </c>
      <c r="B37" s="36"/>
      <c r="C37" s="36">
        <v>13</v>
      </c>
      <c r="D37" s="36" t="s">
        <v>126</v>
      </c>
      <c r="E37" s="36">
        <v>2</v>
      </c>
      <c r="F37" s="36">
        <v>7</v>
      </c>
      <c r="G37" s="36">
        <f t="shared" si="0"/>
        <v>525</v>
      </c>
      <c r="H37" s="36">
        <v>0</v>
      </c>
      <c r="I37" s="36">
        <v>525</v>
      </c>
      <c r="J37" s="105" t="s">
        <v>187</v>
      </c>
      <c r="K37" s="60" t="s">
        <v>238</v>
      </c>
    </row>
    <row r="38" spans="1:11" s="108" customFormat="1">
      <c r="A38" s="40" t="s">
        <v>58</v>
      </c>
      <c r="B38" s="40"/>
      <c r="C38" s="40">
        <v>13</v>
      </c>
      <c r="D38" s="40" t="s">
        <v>126</v>
      </c>
      <c r="E38" s="40">
        <v>1</v>
      </c>
      <c r="F38" s="40">
        <v>6</v>
      </c>
      <c r="G38" s="103">
        <f t="shared" si="0"/>
        <v>450</v>
      </c>
      <c r="H38" s="40">
        <v>0</v>
      </c>
      <c r="I38" s="40">
        <v>450</v>
      </c>
      <c r="J38" s="85" t="s">
        <v>186</v>
      </c>
      <c r="K38" s="60" t="s">
        <v>228</v>
      </c>
    </row>
    <row r="39" spans="1:11" s="108" customFormat="1">
      <c r="A39" s="106" t="s">
        <v>173</v>
      </c>
      <c r="B39" s="106"/>
      <c r="C39" s="106">
        <v>14</v>
      </c>
      <c r="D39" s="106" t="s">
        <v>127</v>
      </c>
      <c r="E39" s="106">
        <v>3</v>
      </c>
      <c r="F39" s="106">
        <v>7.5</v>
      </c>
      <c r="G39" s="106">
        <f t="shared" si="0"/>
        <v>562.5</v>
      </c>
      <c r="H39" s="106">
        <v>0</v>
      </c>
      <c r="I39" s="106">
        <v>562.5</v>
      </c>
      <c r="J39" s="107" t="s">
        <v>191</v>
      </c>
      <c r="K39" s="60" t="s">
        <v>248</v>
      </c>
    </row>
    <row r="40" spans="1:11" s="108" customFormat="1">
      <c r="A40" s="36" t="s">
        <v>72</v>
      </c>
      <c r="B40" s="36"/>
      <c r="C40" s="36">
        <v>14</v>
      </c>
      <c r="D40" s="36" t="s">
        <v>127</v>
      </c>
      <c r="E40" s="36">
        <v>2</v>
      </c>
      <c r="F40" s="36">
        <v>5</v>
      </c>
      <c r="G40" s="36">
        <f t="shared" si="0"/>
        <v>375</v>
      </c>
      <c r="H40" s="36">
        <v>0</v>
      </c>
      <c r="I40" s="36">
        <v>375</v>
      </c>
      <c r="J40" s="105" t="s">
        <v>190</v>
      </c>
      <c r="K40" s="60" t="s">
        <v>253</v>
      </c>
    </row>
    <row r="41" spans="1:11" s="108" customFormat="1">
      <c r="A41" s="40" t="s">
        <v>59</v>
      </c>
      <c r="B41" s="40"/>
      <c r="C41" s="40">
        <v>14</v>
      </c>
      <c r="D41" s="40" t="s">
        <v>127</v>
      </c>
      <c r="E41" s="40">
        <v>1</v>
      </c>
      <c r="F41" s="40">
        <v>3.5</v>
      </c>
      <c r="G41" s="103">
        <f t="shared" si="0"/>
        <v>262.5</v>
      </c>
      <c r="H41" s="40">
        <v>0</v>
      </c>
      <c r="I41" s="40">
        <v>262.5</v>
      </c>
      <c r="J41" s="85" t="s">
        <v>189</v>
      </c>
      <c r="K41" s="60" t="s">
        <v>229</v>
      </c>
    </row>
  </sheetData>
  <sortState ref="A2:K42">
    <sortCondition ref="C2:C42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FEE9-A85B-4DED-BBEB-FD7BEB55E005}">
  <dimension ref="A1:K43"/>
  <sheetViews>
    <sheetView tabSelected="1" topLeftCell="A21" zoomScale="96" zoomScaleNormal="96" workbookViewId="0">
      <selection activeCell="B35" sqref="B35"/>
    </sheetView>
  </sheetViews>
  <sheetFormatPr defaultRowHeight="16.2"/>
  <cols>
    <col min="1" max="1" width="18.109375" style="2" customWidth="1"/>
    <col min="2" max="2" width="19.88671875" style="2" customWidth="1"/>
    <col min="3" max="3" width="10.5546875" style="2" customWidth="1"/>
    <col min="4" max="4" width="18.109375" style="2" customWidth="1"/>
    <col min="5" max="5" width="5.5546875" style="2" customWidth="1"/>
    <col min="6" max="9" width="18.109375" style="2" customWidth="1"/>
    <col min="10" max="10" width="49.5546875" style="72" customWidth="1"/>
    <col min="11" max="11" width="18.88671875" style="2" customWidth="1"/>
    <col min="12" max="12" width="18.88671875" customWidth="1"/>
  </cols>
  <sheetData>
    <row r="1" spans="1:11">
      <c r="A1" s="2" t="s">
        <v>133</v>
      </c>
      <c r="B1" s="2" t="s">
        <v>122</v>
      </c>
      <c r="C1" s="2" t="s">
        <v>123</v>
      </c>
      <c r="D1" s="2" t="s">
        <v>81</v>
      </c>
      <c r="E1" s="2" t="s">
        <v>88</v>
      </c>
      <c r="F1" s="2" t="s">
        <v>12</v>
      </c>
      <c r="G1" s="2" t="s">
        <v>83</v>
      </c>
      <c r="H1" s="2" t="s">
        <v>84</v>
      </c>
      <c r="I1" s="2" t="s">
        <v>82</v>
      </c>
      <c r="J1" s="72" t="s">
        <v>124</v>
      </c>
      <c r="K1" s="2" t="s">
        <v>125</v>
      </c>
    </row>
    <row r="2" spans="1:11" s="38" customFormat="1">
      <c r="A2" s="40" t="s">
        <v>49</v>
      </c>
      <c r="B2" s="40"/>
      <c r="C2" s="40">
        <v>1</v>
      </c>
      <c r="D2" s="40" t="s">
        <v>259</v>
      </c>
      <c r="E2" s="40">
        <v>4</v>
      </c>
      <c r="F2" s="40">
        <v>2</v>
      </c>
      <c r="G2" s="40">
        <f t="shared" ref="G2:G43" si="0">F2*75</f>
        <v>150</v>
      </c>
      <c r="H2" s="40">
        <v>0</v>
      </c>
      <c r="I2" s="40">
        <f t="shared" ref="I2:I29" si="1">H2+G2</f>
        <v>150</v>
      </c>
      <c r="J2" s="85"/>
      <c r="K2" s="86"/>
    </row>
    <row r="3" spans="1:11" s="38" customFormat="1">
      <c r="A3" s="40" t="s">
        <v>134</v>
      </c>
      <c r="B3" s="40"/>
      <c r="C3" s="40">
        <v>2</v>
      </c>
      <c r="D3" s="40" t="s">
        <v>160</v>
      </c>
      <c r="E3" s="40">
        <v>4</v>
      </c>
      <c r="F3" s="40">
        <v>8</v>
      </c>
      <c r="G3" s="40">
        <f t="shared" si="0"/>
        <v>600</v>
      </c>
      <c r="H3" s="40">
        <v>0</v>
      </c>
      <c r="I3" s="40">
        <f t="shared" si="1"/>
        <v>600</v>
      </c>
      <c r="J3" s="85"/>
      <c r="K3" s="86"/>
    </row>
    <row r="4" spans="1:11" s="38" customFormat="1">
      <c r="A4" s="40" t="s">
        <v>257</v>
      </c>
      <c r="B4" s="40"/>
      <c r="C4" s="40">
        <v>3</v>
      </c>
      <c r="D4" s="40" t="s">
        <v>161</v>
      </c>
      <c r="E4" s="40">
        <v>4</v>
      </c>
      <c r="F4" s="40">
        <v>6</v>
      </c>
      <c r="G4" s="40">
        <f t="shared" si="0"/>
        <v>450</v>
      </c>
      <c r="H4" s="40">
        <v>0</v>
      </c>
      <c r="I4" s="40">
        <f t="shared" si="1"/>
        <v>450</v>
      </c>
      <c r="J4" s="85"/>
      <c r="K4" s="86"/>
    </row>
    <row r="5" spans="1:11" s="38" customFormat="1">
      <c r="A5" s="40" t="s">
        <v>258</v>
      </c>
      <c r="B5" s="40"/>
      <c r="C5" s="40">
        <v>4</v>
      </c>
      <c r="D5" s="40" t="s">
        <v>162</v>
      </c>
      <c r="E5" s="40">
        <v>4</v>
      </c>
      <c r="F5" s="40">
        <v>8</v>
      </c>
      <c r="G5" s="40">
        <f t="shared" si="0"/>
        <v>600</v>
      </c>
      <c r="H5" s="40">
        <v>0</v>
      </c>
      <c r="I5" s="40">
        <f t="shared" si="1"/>
        <v>600</v>
      </c>
      <c r="J5" s="85"/>
      <c r="K5" s="86"/>
    </row>
    <row r="6" spans="1:11" s="38" customFormat="1" ht="15.6" customHeight="1">
      <c r="A6" s="40" t="s">
        <v>50</v>
      </c>
      <c r="B6" s="40"/>
      <c r="C6" s="40">
        <v>5</v>
      </c>
      <c r="D6" s="40" t="s">
        <v>163</v>
      </c>
      <c r="E6" s="40">
        <v>4</v>
      </c>
      <c r="F6" s="40">
        <v>19.5</v>
      </c>
      <c r="G6" s="40">
        <f t="shared" si="0"/>
        <v>1462.5</v>
      </c>
      <c r="H6" s="40">
        <v>0</v>
      </c>
      <c r="I6" s="40">
        <f t="shared" si="1"/>
        <v>1462.5</v>
      </c>
      <c r="J6" s="85"/>
      <c r="K6" s="86"/>
    </row>
    <row r="7" spans="1:11" s="38" customFormat="1">
      <c r="A7" s="40" t="s">
        <v>51</v>
      </c>
      <c r="B7" s="40"/>
      <c r="C7" s="40">
        <v>6</v>
      </c>
      <c r="D7" s="40" t="s">
        <v>164</v>
      </c>
      <c r="E7" s="40">
        <v>4</v>
      </c>
      <c r="F7" s="40">
        <v>2.5</v>
      </c>
      <c r="G7" s="40">
        <f t="shared" si="0"/>
        <v>187.5</v>
      </c>
      <c r="H7" s="40">
        <v>0</v>
      </c>
      <c r="I7" s="40">
        <f t="shared" si="1"/>
        <v>187.5</v>
      </c>
      <c r="J7" s="85"/>
      <c r="K7" s="86"/>
    </row>
    <row r="8" spans="1:11" s="38" customFormat="1">
      <c r="A8" s="40" t="s">
        <v>52</v>
      </c>
      <c r="B8" s="40"/>
      <c r="C8" s="40">
        <v>7</v>
      </c>
      <c r="D8" s="40" t="s">
        <v>165</v>
      </c>
      <c r="E8" s="40">
        <v>4</v>
      </c>
      <c r="F8" s="40">
        <v>19</v>
      </c>
      <c r="G8" s="40">
        <f t="shared" si="0"/>
        <v>1425</v>
      </c>
      <c r="H8" s="40">
        <v>0</v>
      </c>
      <c r="I8" s="40">
        <f t="shared" si="1"/>
        <v>1425</v>
      </c>
      <c r="J8" s="85"/>
      <c r="K8" s="86"/>
    </row>
    <row r="9" spans="1:11" s="38" customFormat="1">
      <c r="A9" s="40" t="s">
        <v>53</v>
      </c>
      <c r="B9" s="40"/>
      <c r="C9" s="40">
        <v>8</v>
      </c>
      <c r="D9" s="40" t="s">
        <v>166</v>
      </c>
      <c r="E9" s="40">
        <v>4</v>
      </c>
      <c r="F9" s="40">
        <v>18</v>
      </c>
      <c r="G9" s="40">
        <f t="shared" si="0"/>
        <v>1350</v>
      </c>
      <c r="H9" s="40">
        <v>0</v>
      </c>
      <c r="I9" s="40">
        <f t="shared" si="1"/>
        <v>1350</v>
      </c>
      <c r="J9" s="85"/>
      <c r="K9" s="86"/>
    </row>
    <row r="10" spans="1:11" s="38" customFormat="1">
      <c r="A10" s="40" t="s">
        <v>54</v>
      </c>
      <c r="B10" s="40"/>
      <c r="C10" s="40">
        <v>9</v>
      </c>
      <c r="D10" s="40" t="s">
        <v>167</v>
      </c>
      <c r="E10" s="40">
        <v>4</v>
      </c>
      <c r="F10" s="40">
        <v>2</v>
      </c>
      <c r="G10" s="40">
        <f t="shared" si="0"/>
        <v>150</v>
      </c>
      <c r="H10" s="40">
        <v>0</v>
      </c>
      <c r="I10" s="40">
        <f t="shared" si="1"/>
        <v>150</v>
      </c>
      <c r="J10" s="85"/>
      <c r="K10" s="86"/>
    </row>
    <row r="11" spans="1:11" s="38" customFormat="1">
      <c r="A11" s="40" t="s">
        <v>55</v>
      </c>
      <c r="B11" s="40"/>
      <c r="C11" s="40">
        <v>10</v>
      </c>
      <c r="D11" s="40" t="s">
        <v>168</v>
      </c>
      <c r="E11" s="40">
        <v>4</v>
      </c>
      <c r="F11" s="40">
        <v>8</v>
      </c>
      <c r="G11" s="40">
        <f t="shared" si="0"/>
        <v>600</v>
      </c>
      <c r="H11" s="40">
        <v>0</v>
      </c>
      <c r="I11" s="40">
        <f t="shared" si="1"/>
        <v>600</v>
      </c>
      <c r="J11" s="85"/>
      <c r="K11" s="86"/>
    </row>
    <row r="12" spans="1:11" s="38" customFormat="1">
      <c r="A12" s="40" t="s">
        <v>56</v>
      </c>
      <c r="B12" s="40"/>
      <c r="C12" s="40">
        <v>11</v>
      </c>
      <c r="D12" s="40" t="s">
        <v>169</v>
      </c>
      <c r="E12" s="40">
        <v>4</v>
      </c>
      <c r="F12" s="40">
        <v>2</v>
      </c>
      <c r="G12" s="40">
        <f t="shared" si="0"/>
        <v>150</v>
      </c>
      <c r="H12" s="40">
        <v>0</v>
      </c>
      <c r="I12" s="40">
        <f t="shared" si="1"/>
        <v>150</v>
      </c>
      <c r="J12" s="85"/>
      <c r="K12" s="86"/>
    </row>
    <row r="13" spans="1:11">
      <c r="A13" s="40" t="s">
        <v>57</v>
      </c>
      <c r="B13" s="40" t="s">
        <v>137</v>
      </c>
      <c r="C13" s="40">
        <v>12</v>
      </c>
      <c r="D13" s="40" t="s">
        <v>170</v>
      </c>
      <c r="E13" s="40">
        <v>4</v>
      </c>
      <c r="F13" s="40">
        <v>2</v>
      </c>
      <c r="G13" s="40">
        <f t="shared" si="0"/>
        <v>150</v>
      </c>
      <c r="H13" s="40">
        <v>0</v>
      </c>
      <c r="I13" s="40">
        <f t="shared" si="1"/>
        <v>150</v>
      </c>
      <c r="J13" s="85"/>
      <c r="K13" s="86"/>
    </row>
    <row r="14" spans="1:11">
      <c r="A14" s="40" t="s">
        <v>58</v>
      </c>
      <c r="B14" s="40"/>
      <c r="C14" s="40">
        <v>13</v>
      </c>
      <c r="D14" s="40" t="s">
        <v>126</v>
      </c>
      <c r="E14" s="40">
        <v>4</v>
      </c>
      <c r="F14" s="40">
        <v>16</v>
      </c>
      <c r="G14" s="40">
        <f t="shared" si="0"/>
        <v>1200</v>
      </c>
      <c r="H14" s="40">
        <v>0</v>
      </c>
      <c r="I14" s="40">
        <f t="shared" si="1"/>
        <v>1200</v>
      </c>
      <c r="J14" s="85"/>
      <c r="K14" s="86"/>
    </row>
    <row r="15" spans="1:11">
      <c r="A15" s="40" t="s">
        <v>59</v>
      </c>
      <c r="B15" s="40"/>
      <c r="C15" s="40">
        <v>14</v>
      </c>
      <c r="D15" s="40" t="s">
        <v>127</v>
      </c>
      <c r="E15" s="40">
        <v>4</v>
      </c>
      <c r="F15" s="40">
        <v>8</v>
      </c>
      <c r="G15" s="40">
        <f t="shared" si="0"/>
        <v>600</v>
      </c>
      <c r="H15" s="40">
        <v>0</v>
      </c>
      <c r="I15" s="40">
        <f t="shared" si="1"/>
        <v>600</v>
      </c>
      <c r="J15" s="85"/>
      <c r="K15" s="86"/>
    </row>
    <row r="16" spans="1:11">
      <c r="A16" s="90" t="s">
        <v>60</v>
      </c>
      <c r="C16" s="2">
        <v>1</v>
      </c>
      <c r="D16" s="2" t="s">
        <v>159</v>
      </c>
      <c r="E16" s="2">
        <v>5</v>
      </c>
      <c r="F16" s="2">
        <v>2</v>
      </c>
      <c r="G16" s="90">
        <f t="shared" si="0"/>
        <v>150</v>
      </c>
      <c r="H16" s="2">
        <v>0</v>
      </c>
      <c r="I16" s="90">
        <f t="shared" si="1"/>
        <v>150</v>
      </c>
      <c r="K16" s="60"/>
    </row>
    <row r="17" spans="1:11">
      <c r="A17" s="90" t="s">
        <v>61</v>
      </c>
      <c r="C17" s="2">
        <v>2</v>
      </c>
      <c r="D17" s="2" t="s">
        <v>160</v>
      </c>
      <c r="E17" s="2">
        <v>5</v>
      </c>
      <c r="F17" s="2">
        <v>8</v>
      </c>
      <c r="G17" s="90">
        <f t="shared" si="0"/>
        <v>600</v>
      </c>
      <c r="H17" s="2">
        <v>0</v>
      </c>
      <c r="I17" s="90">
        <f t="shared" si="1"/>
        <v>600</v>
      </c>
      <c r="K17" s="60"/>
    </row>
    <row r="18" spans="1:11">
      <c r="A18" s="90" t="s">
        <v>62</v>
      </c>
      <c r="C18" s="2">
        <v>3</v>
      </c>
      <c r="D18" s="2" t="s">
        <v>161</v>
      </c>
      <c r="E18" s="2">
        <v>5</v>
      </c>
      <c r="F18" s="2">
        <v>3</v>
      </c>
      <c r="G18" s="90">
        <f t="shared" si="0"/>
        <v>225</v>
      </c>
      <c r="H18" s="2">
        <v>0</v>
      </c>
      <c r="I18" s="90">
        <f t="shared" si="1"/>
        <v>225</v>
      </c>
      <c r="K18" s="60"/>
    </row>
    <row r="19" spans="1:11">
      <c r="A19" s="90" t="s">
        <v>63</v>
      </c>
      <c r="C19" s="2">
        <v>4</v>
      </c>
      <c r="D19" s="2" t="s">
        <v>162</v>
      </c>
      <c r="E19" s="2">
        <v>5</v>
      </c>
      <c r="F19" s="2">
        <v>8</v>
      </c>
      <c r="G19" s="90">
        <f t="shared" si="0"/>
        <v>600</v>
      </c>
      <c r="H19" s="2">
        <v>0</v>
      </c>
      <c r="I19" s="90">
        <f t="shared" si="1"/>
        <v>600</v>
      </c>
      <c r="K19" s="60"/>
    </row>
    <row r="20" spans="1:11">
      <c r="A20" s="90" t="s">
        <v>64</v>
      </c>
      <c r="C20" s="2">
        <v>5</v>
      </c>
      <c r="D20" s="2" t="s">
        <v>163</v>
      </c>
      <c r="E20" s="2">
        <v>5</v>
      </c>
      <c r="F20" s="2">
        <v>7</v>
      </c>
      <c r="G20" s="90">
        <f t="shared" si="0"/>
        <v>525</v>
      </c>
      <c r="H20" s="2">
        <v>0</v>
      </c>
      <c r="I20" s="90">
        <f t="shared" si="1"/>
        <v>525</v>
      </c>
      <c r="K20" s="60"/>
    </row>
    <row r="21" spans="1:11">
      <c r="A21" s="90" t="s">
        <v>65</v>
      </c>
      <c r="C21" s="2">
        <v>6</v>
      </c>
      <c r="D21" s="2" t="s">
        <v>164</v>
      </c>
      <c r="E21" s="2">
        <v>5</v>
      </c>
      <c r="F21" s="2">
        <v>2.5</v>
      </c>
      <c r="G21" s="90">
        <f t="shared" si="0"/>
        <v>187.5</v>
      </c>
      <c r="H21" s="2">
        <v>0</v>
      </c>
      <c r="I21" s="90">
        <f t="shared" si="1"/>
        <v>187.5</v>
      </c>
      <c r="K21" s="60"/>
    </row>
    <row r="22" spans="1:11">
      <c r="A22" s="90" t="s">
        <v>66</v>
      </c>
      <c r="C22" s="2">
        <v>7</v>
      </c>
      <c r="D22" s="2" t="s">
        <v>165</v>
      </c>
      <c r="E22" s="2">
        <v>5</v>
      </c>
      <c r="F22" s="2">
        <v>6</v>
      </c>
      <c r="G22" s="90">
        <f t="shared" si="0"/>
        <v>450</v>
      </c>
      <c r="H22" s="2">
        <v>0</v>
      </c>
      <c r="I22" s="90">
        <f t="shared" si="1"/>
        <v>450</v>
      </c>
      <c r="K22" s="60"/>
    </row>
    <row r="23" spans="1:11">
      <c r="A23" s="90" t="s">
        <v>67</v>
      </c>
      <c r="C23" s="2">
        <v>8</v>
      </c>
      <c r="D23" s="2" t="s">
        <v>166</v>
      </c>
      <c r="E23" s="2">
        <v>5</v>
      </c>
      <c r="F23" s="2">
        <v>6</v>
      </c>
      <c r="G23" s="90">
        <f t="shared" si="0"/>
        <v>450</v>
      </c>
      <c r="H23" s="2">
        <v>0</v>
      </c>
      <c r="I23" s="90">
        <f t="shared" si="1"/>
        <v>450</v>
      </c>
      <c r="K23" s="60"/>
    </row>
    <row r="24" spans="1:11">
      <c r="A24" s="90" t="s">
        <v>68</v>
      </c>
      <c r="C24" s="2">
        <v>9</v>
      </c>
      <c r="D24" s="2" t="s">
        <v>167</v>
      </c>
      <c r="E24" s="2">
        <v>5</v>
      </c>
      <c r="F24" s="2">
        <v>2</v>
      </c>
      <c r="G24" s="90">
        <f t="shared" si="0"/>
        <v>150</v>
      </c>
      <c r="H24" s="2">
        <v>0</v>
      </c>
      <c r="I24" s="90">
        <f t="shared" si="1"/>
        <v>150</v>
      </c>
      <c r="K24" s="99"/>
    </row>
    <row r="25" spans="1:11">
      <c r="A25" s="90" t="s">
        <v>69</v>
      </c>
      <c r="C25" s="2">
        <v>10</v>
      </c>
      <c r="D25" s="2" t="s">
        <v>168</v>
      </c>
      <c r="E25" s="2">
        <v>5</v>
      </c>
      <c r="F25" s="2">
        <v>8</v>
      </c>
      <c r="G25" s="90">
        <f t="shared" si="0"/>
        <v>600</v>
      </c>
      <c r="H25" s="2">
        <v>0</v>
      </c>
      <c r="I25" s="90">
        <f t="shared" si="1"/>
        <v>600</v>
      </c>
      <c r="K25" s="60"/>
    </row>
    <row r="26" spans="1:11">
      <c r="A26" s="90" t="s">
        <v>70</v>
      </c>
      <c r="C26" s="2">
        <v>11</v>
      </c>
      <c r="D26" s="2" t="s">
        <v>169</v>
      </c>
      <c r="E26" s="2">
        <v>5</v>
      </c>
      <c r="F26" s="2">
        <v>2</v>
      </c>
      <c r="G26" s="90">
        <f t="shared" si="0"/>
        <v>150</v>
      </c>
      <c r="H26" s="2">
        <v>0</v>
      </c>
      <c r="I26" s="90">
        <f t="shared" si="1"/>
        <v>150</v>
      </c>
      <c r="K26" s="60"/>
    </row>
    <row r="27" spans="1:11">
      <c r="A27" s="90" t="s">
        <v>71</v>
      </c>
      <c r="C27" s="2">
        <v>12</v>
      </c>
      <c r="D27" s="2" t="s">
        <v>170</v>
      </c>
      <c r="E27" s="2">
        <v>5</v>
      </c>
      <c r="F27" s="2">
        <v>2</v>
      </c>
      <c r="G27" s="90">
        <f t="shared" si="0"/>
        <v>150</v>
      </c>
      <c r="H27" s="2">
        <v>0</v>
      </c>
      <c r="I27" s="90">
        <f t="shared" si="1"/>
        <v>150</v>
      </c>
      <c r="K27" s="60"/>
    </row>
    <row r="28" spans="1:11">
      <c r="A28" s="90" t="s">
        <v>72</v>
      </c>
      <c r="C28" s="2">
        <v>13</v>
      </c>
      <c r="D28" s="2" t="s">
        <v>126</v>
      </c>
      <c r="E28" s="2">
        <v>5</v>
      </c>
      <c r="F28" s="2">
        <v>4</v>
      </c>
      <c r="G28" s="90">
        <f t="shared" si="0"/>
        <v>300</v>
      </c>
      <c r="H28" s="2">
        <v>0</v>
      </c>
      <c r="I28" s="90">
        <f t="shared" si="1"/>
        <v>300</v>
      </c>
      <c r="K28" s="60"/>
    </row>
    <row r="29" spans="1:11">
      <c r="A29" s="90" t="s">
        <v>73</v>
      </c>
      <c r="C29" s="2">
        <v>14</v>
      </c>
      <c r="D29" s="2" t="s">
        <v>127</v>
      </c>
      <c r="E29" s="2">
        <v>5</v>
      </c>
      <c r="F29" s="2">
        <v>8</v>
      </c>
      <c r="G29" s="90">
        <f t="shared" si="0"/>
        <v>600</v>
      </c>
      <c r="H29" s="2">
        <v>0</v>
      </c>
      <c r="I29" s="90">
        <f t="shared" si="1"/>
        <v>600</v>
      </c>
      <c r="K29" s="60"/>
    </row>
    <row r="30" spans="1:11">
      <c r="A30" s="90" t="s">
        <v>74</v>
      </c>
      <c r="C30" s="2">
        <v>1</v>
      </c>
      <c r="D30" s="2" t="s">
        <v>159</v>
      </c>
      <c r="E30" s="2">
        <v>6</v>
      </c>
      <c r="F30" s="2">
        <v>2</v>
      </c>
      <c r="G30" s="90">
        <f t="shared" si="0"/>
        <v>150</v>
      </c>
      <c r="H30" s="2">
        <v>0</v>
      </c>
      <c r="I30" s="2">
        <f>H30+G30</f>
        <v>150</v>
      </c>
      <c r="K30" s="60"/>
    </row>
    <row r="31" spans="1:11">
      <c r="A31" s="90" t="s">
        <v>75</v>
      </c>
      <c r="C31" s="2">
        <v>2</v>
      </c>
      <c r="D31" s="2" t="s">
        <v>160</v>
      </c>
      <c r="E31" s="2">
        <v>6</v>
      </c>
      <c r="F31" s="2">
        <v>7</v>
      </c>
      <c r="G31" s="90">
        <f t="shared" si="0"/>
        <v>525</v>
      </c>
      <c r="H31" s="2">
        <v>0</v>
      </c>
      <c r="I31" s="2">
        <f t="shared" ref="I31:I43" si="2">H31+G31</f>
        <v>525</v>
      </c>
      <c r="K31" s="60"/>
    </row>
    <row r="32" spans="1:11">
      <c r="A32" s="90" t="s">
        <v>76</v>
      </c>
      <c r="C32" s="2">
        <v>3</v>
      </c>
      <c r="D32" s="2" t="s">
        <v>161</v>
      </c>
      <c r="E32" s="2">
        <v>6</v>
      </c>
      <c r="F32" s="2">
        <v>7.5</v>
      </c>
      <c r="G32" s="90">
        <f t="shared" si="0"/>
        <v>562.5</v>
      </c>
      <c r="H32" s="2">
        <v>0</v>
      </c>
      <c r="I32" s="2">
        <f t="shared" si="2"/>
        <v>562.5</v>
      </c>
      <c r="K32" s="60"/>
    </row>
    <row r="33" spans="1:11">
      <c r="A33" s="90" t="s">
        <v>77</v>
      </c>
      <c r="C33" s="2">
        <v>4</v>
      </c>
      <c r="D33" s="2" t="s">
        <v>162</v>
      </c>
      <c r="E33" s="2">
        <v>6</v>
      </c>
      <c r="F33" s="2">
        <v>5</v>
      </c>
      <c r="G33" s="90">
        <f t="shared" si="0"/>
        <v>375</v>
      </c>
      <c r="H33" s="2">
        <v>0</v>
      </c>
      <c r="I33" s="2">
        <f t="shared" si="2"/>
        <v>375</v>
      </c>
      <c r="K33" s="60"/>
    </row>
    <row r="34" spans="1:11">
      <c r="A34" s="90" t="s">
        <v>78</v>
      </c>
      <c r="B34" s="2" t="s">
        <v>262</v>
      </c>
      <c r="C34" s="2">
        <v>5</v>
      </c>
      <c r="D34" s="2" t="s">
        <v>163</v>
      </c>
      <c r="E34" s="2">
        <v>6</v>
      </c>
      <c r="F34" s="2">
        <v>8.5</v>
      </c>
      <c r="G34" s="90">
        <f t="shared" si="0"/>
        <v>637.5</v>
      </c>
      <c r="H34" s="2">
        <v>26.4</v>
      </c>
      <c r="I34" s="2">
        <f t="shared" si="2"/>
        <v>663.9</v>
      </c>
      <c r="K34" s="60"/>
    </row>
    <row r="35" spans="1:11">
      <c r="A35" s="90" t="s">
        <v>79</v>
      </c>
      <c r="C35" s="2">
        <v>6</v>
      </c>
      <c r="D35" s="2" t="s">
        <v>164</v>
      </c>
      <c r="E35" s="2">
        <v>6</v>
      </c>
      <c r="F35" s="2">
        <v>4</v>
      </c>
      <c r="G35" s="90">
        <f t="shared" si="0"/>
        <v>300</v>
      </c>
      <c r="H35" s="2">
        <v>0</v>
      </c>
      <c r="I35" s="2">
        <f t="shared" si="2"/>
        <v>300</v>
      </c>
      <c r="K35" s="60"/>
    </row>
    <row r="36" spans="1:11">
      <c r="A36" s="90" t="s">
        <v>80</v>
      </c>
      <c r="C36" s="2">
        <v>7</v>
      </c>
      <c r="D36" s="2" t="s">
        <v>165</v>
      </c>
      <c r="E36" s="2">
        <v>6</v>
      </c>
      <c r="F36" s="2">
        <v>4</v>
      </c>
      <c r="G36" s="90">
        <f t="shared" si="0"/>
        <v>300</v>
      </c>
      <c r="H36" s="2">
        <v>0</v>
      </c>
      <c r="I36" s="2">
        <f t="shared" si="2"/>
        <v>300</v>
      </c>
      <c r="K36" s="60"/>
    </row>
    <row r="37" spans="1:11">
      <c r="A37" s="90" t="s">
        <v>138</v>
      </c>
      <c r="C37" s="2">
        <v>8</v>
      </c>
      <c r="D37" s="2" t="s">
        <v>166</v>
      </c>
      <c r="E37" s="2">
        <v>6</v>
      </c>
      <c r="F37" s="2">
        <v>13</v>
      </c>
      <c r="G37" s="90">
        <f t="shared" si="0"/>
        <v>975</v>
      </c>
      <c r="H37" s="2">
        <v>0</v>
      </c>
      <c r="I37" s="2">
        <f t="shared" si="2"/>
        <v>975</v>
      </c>
    </row>
    <row r="38" spans="1:11">
      <c r="A38" s="90" t="s">
        <v>139</v>
      </c>
      <c r="C38" s="2">
        <v>9</v>
      </c>
      <c r="D38" s="2" t="s">
        <v>167</v>
      </c>
      <c r="E38" s="2">
        <v>6</v>
      </c>
      <c r="F38" s="2">
        <v>2</v>
      </c>
      <c r="G38" s="90">
        <f t="shared" si="0"/>
        <v>150</v>
      </c>
      <c r="H38" s="2">
        <v>0</v>
      </c>
      <c r="I38" s="2">
        <f t="shared" si="2"/>
        <v>150</v>
      </c>
    </row>
    <row r="39" spans="1:11">
      <c r="A39" s="90" t="s">
        <v>171</v>
      </c>
      <c r="C39" s="2">
        <v>10</v>
      </c>
      <c r="D39" s="2" t="s">
        <v>168</v>
      </c>
      <c r="E39" s="2">
        <v>6</v>
      </c>
      <c r="F39" s="2">
        <v>11</v>
      </c>
      <c r="G39" s="90">
        <f t="shared" si="0"/>
        <v>825</v>
      </c>
      <c r="H39" s="2">
        <v>0</v>
      </c>
      <c r="I39" s="2">
        <f t="shared" si="2"/>
        <v>825</v>
      </c>
    </row>
    <row r="40" spans="1:11">
      <c r="A40" s="90" t="s">
        <v>172</v>
      </c>
      <c r="C40" s="2">
        <v>11</v>
      </c>
      <c r="D40" s="2" t="s">
        <v>169</v>
      </c>
      <c r="E40" s="2">
        <v>6</v>
      </c>
      <c r="F40" s="2">
        <v>4</v>
      </c>
      <c r="G40" s="90">
        <f t="shared" si="0"/>
        <v>300</v>
      </c>
      <c r="H40" s="2">
        <v>0</v>
      </c>
      <c r="I40" s="2">
        <f t="shared" si="2"/>
        <v>300</v>
      </c>
    </row>
    <row r="41" spans="1:11">
      <c r="A41" s="90" t="s">
        <v>173</v>
      </c>
      <c r="C41" s="2">
        <v>12</v>
      </c>
      <c r="D41" s="2" t="s">
        <v>170</v>
      </c>
      <c r="E41" s="2">
        <v>6</v>
      </c>
      <c r="F41" s="2">
        <v>11</v>
      </c>
      <c r="G41" s="90">
        <f t="shared" si="0"/>
        <v>825</v>
      </c>
      <c r="H41" s="2">
        <v>0</v>
      </c>
      <c r="I41" s="2">
        <f t="shared" si="2"/>
        <v>825</v>
      </c>
    </row>
    <row r="42" spans="1:11">
      <c r="A42" s="90" t="s">
        <v>260</v>
      </c>
      <c r="C42" s="2">
        <v>13</v>
      </c>
      <c r="D42" s="2" t="s">
        <v>126</v>
      </c>
      <c r="E42" s="2">
        <v>6</v>
      </c>
      <c r="F42" s="2">
        <v>2</v>
      </c>
      <c r="G42" s="90">
        <f t="shared" si="0"/>
        <v>150</v>
      </c>
      <c r="H42" s="2">
        <v>0</v>
      </c>
      <c r="I42" s="2">
        <f t="shared" si="2"/>
        <v>150</v>
      </c>
    </row>
    <row r="43" spans="1:11">
      <c r="A43" s="90" t="s">
        <v>261</v>
      </c>
      <c r="C43" s="2">
        <v>14</v>
      </c>
      <c r="D43" s="2" t="s">
        <v>127</v>
      </c>
      <c r="E43" s="2">
        <v>6</v>
      </c>
      <c r="F43" s="2">
        <v>11</v>
      </c>
      <c r="G43" s="90">
        <f t="shared" si="0"/>
        <v>825</v>
      </c>
      <c r="H43" s="2">
        <v>0</v>
      </c>
      <c r="I43" s="2">
        <f t="shared" si="2"/>
        <v>825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FDF6-9354-48B4-B4EA-1294D28D8091}">
  <dimension ref="A3:C9"/>
  <sheetViews>
    <sheetView workbookViewId="0">
      <selection activeCell="C8" sqref="C8"/>
    </sheetView>
  </sheetViews>
  <sheetFormatPr defaultRowHeight="16.2"/>
  <cols>
    <col min="1" max="1" width="24.33203125" customWidth="1"/>
    <col min="2" max="2" width="63.21875" customWidth="1"/>
    <col min="3" max="3" width="35.21875" style="65" customWidth="1"/>
  </cols>
  <sheetData>
    <row r="3" spans="1:3" ht="41.4">
      <c r="A3" s="70" t="s">
        <v>131</v>
      </c>
      <c r="B3" s="71">
        <v>51410410568</v>
      </c>
      <c r="C3" s="65" t="s">
        <v>132</v>
      </c>
    </row>
    <row r="5" spans="1:3" ht="66.599999999999994" customHeight="1">
      <c r="A5" s="66"/>
      <c r="B5" s="67" t="s">
        <v>175</v>
      </c>
      <c r="C5" s="3">
        <v>3000</v>
      </c>
    </row>
    <row r="6" spans="1:3" ht="32.4">
      <c r="A6" s="66"/>
      <c r="B6" s="67" t="s">
        <v>174</v>
      </c>
      <c r="C6" s="3">
        <v>2178.4</v>
      </c>
    </row>
    <row r="7" spans="1:3">
      <c r="A7" s="66"/>
      <c r="B7" s="2" t="s">
        <v>176</v>
      </c>
      <c r="C7" s="3">
        <v>780.6</v>
      </c>
    </row>
    <row r="8" spans="1:3">
      <c r="A8" s="66"/>
      <c r="B8" s="2"/>
      <c r="C8" s="68"/>
    </row>
    <row r="9" spans="1:3" ht="28.2">
      <c r="C9" s="69">
        <f>SUM(C5:C8)</f>
        <v>5959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2D6D-FB49-49F1-A5B8-E814C16FFC52}">
  <dimension ref="A3:R16"/>
  <sheetViews>
    <sheetView zoomScale="90" zoomScaleNormal="90" workbookViewId="0">
      <selection activeCell="G16" sqref="G16:H16"/>
    </sheetView>
  </sheetViews>
  <sheetFormatPr defaultRowHeight="16.2"/>
  <cols>
    <col min="1" max="1" width="20.88671875" customWidth="1"/>
    <col min="8" max="8" width="27.21875" customWidth="1"/>
    <col min="10" max="10" width="9.6640625" bestFit="1" customWidth="1"/>
    <col min="11" max="11" width="9" customWidth="1"/>
    <col min="14" max="14" width="21.88671875" customWidth="1"/>
    <col min="15" max="15" width="3.21875" customWidth="1"/>
    <col min="16" max="16" width="2.44140625" customWidth="1"/>
    <col min="17" max="17" width="3.21875" customWidth="1"/>
  </cols>
  <sheetData>
    <row r="3" spans="1:18" ht="21.6">
      <c r="A3" s="6">
        <v>45827</v>
      </c>
      <c r="B3" s="7" t="s">
        <v>14</v>
      </c>
      <c r="C3" s="8">
        <v>0.39583333333333331</v>
      </c>
      <c r="D3" s="8">
        <v>0.52083333333333337</v>
      </c>
      <c r="E3" s="9">
        <v>3</v>
      </c>
      <c r="F3" s="10">
        <v>6</v>
      </c>
      <c r="G3" s="125" t="s">
        <v>28</v>
      </c>
      <c r="H3" s="126"/>
      <c r="J3" s="11">
        <f>A3</f>
        <v>45827</v>
      </c>
      <c r="K3" s="12">
        <f>C3</f>
        <v>0.39583333333333331</v>
      </c>
      <c r="L3" t="s">
        <v>21</v>
      </c>
      <c r="M3" s="12">
        <f>D3</f>
        <v>0.52083333333333337</v>
      </c>
      <c r="N3" t="str">
        <f>G3</f>
        <v>PS月會</v>
      </c>
      <c r="O3" t="s">
        <v>23</v>
      </c>
      <c r="P3">
        <f>E3</f>
        <v>3</v>
      </c>
      <c r="Q3" t="s">
        <v>22</v>
      </c>
      <c r="R3" t="s">
        <v>24</v>
      </c>
    </row>
    <row r="4" spans="1:18" ht="21.6">
      <c r="A4" s="6">
        <v>45819</v>
      </c>
      <c r="B4" s="7" t="s">
        <v>14</v>
      </c>
      <c r="C4" s="8">
        <v>0.60416666666666663</v>
      </c>
      <c r="D4" s="8">
        <v>0.66666666666666663</v>
      </c>
      <c r="E4" s="9">
        <v>1.5</v>
      </c>
      <c r="F4" s="10">
        <v>6</v>
      </c>
      <c r="G4" s="125" t="s">
        <v>93</v>
      </c>
      <c r="H4" s="126"/>
      <c r="J4" s="11">
        <f t="shared" ref="J4:J9" si="0">A4</f>
        <v>45819</v>
      </c>
      <c r="K4" s="12">
        <f t="shared" ref="K4:K9" si="1">C4</f>
        <v>0.60416666666666663</v>
      </c>
      <c r="L4" t="s">
        <v>21</v>
      </c>
      <c r="M4" s="12">
        <f t="shared" ref="M4:M9" si="2">D4</f>
        <v>0.66666666666666663</v>
      </c>
      <c r="N4" t="str">
        <f t="shared" ref="N4:N9" si="3">G4</f>
        <v>PS小組督導會議</v>
      </c>
      <c r="O4" t="s">
        <v>23</v>
      </c>
      <c r="P4">
        <f t="shared" ref="P4:P9" si="4">E4</f>
        <v>1.5</v>
      </c>
      <c r="Q4" t="s">
        <v>22</v>
      </c>
      <c r="R4" t="s">
        <v>24</v>
      </c>
    </row>
    <row r="5" spans="1:18" ht="21.6">
      <c r="A5" s="6">
        <v>45832</v>
      </c>
      <c r="B5" s="7" t="s">
        <v>14</v>
      </c>
      <c r="C5" s="8">
        <v>0.6875</v>
      </c>
      <c r="D5" s="8">
        <v>0.72916666666666663</v>
      </c>
      <c r="E5" s="9">
        <v>1</v>
      </c>
      <c r="F5" s="10">
        <v>6</v>
      </c>
      <c r="G5" s="124" t="s">
        <v>94</v>
      </c>
      <c r="H5" s="124"/>
      <c r="J5" s="11">
        <f t="shared" si="0"/>
        <v>45832</v>
      </c>
      <c r="K5" s="12">
        <f t="shared" si="1"/>
        <v>0.6875</v>
      </c>
      <c r="L5" t="s">
        <v>21</v>
      </c>
      <c r="M5" s="12">
        <f t="shared" si="2"/>
        <v>0.72916666666666663</v>
      </c>
      <c r="N5" t="str">
        <f t="shared" si="3"/>
        <v>第六節PSG小組檢討</v>
      </c>
      <c r="O5" t="s">
        <v>23</v>
      </c>
      <c r="P5">
        <f t="shared" si="4"/>
        <v>1</v>
      </c>
      <c r="Q5" t="s">
        <v>22</v>
      </c>
      <c r="R5" t="s">
        <v>24</v>
      </c>
    </row>
    <row r="6" spans="1:18" ht="21.6">
      <c r="A6" s="6">
        <v>45832</v>
      </c>
      <c r="B6" s="7" t="s">
        <v>14</v>
      </c>
      <c r="C6" s="8">
        <v>0.60416666666666663</v>
      </c>
      <c r="D6" s="8">
        <v>0.6875</v>
      </c>
      <c r="E6" s="9">
        <v>2</v>
      </c>
      <c r="F6" s="10">
        <v>6</v>
      </c>
      <c r="G6" s="124" t="s">
        <v>95</v>
      </c>
      <c r="H6" s="124"/>
      <c r="J6" s="11">
        <f t="shared" si="0"/>
        <v>45832</v>
      </c>
      <c r="K6" s="12">
        <f t="shared" si="1"/>
        <v>0.60416666666666663</v>
      </c>
      <c r="L6" t="s">
        <v>21</v>
      </c>
      <c r="M6" s="12">
        <f t="shared" si="2"/>
        <v>0.6875</v>
      </c>
      <c r="N6" t="str">
        <f t="shared" si="3"/>
        <v>第六節PSG小組</v>
      </c>
      <c r="O6" t="s">
        <v>23</v>
      </c>
      <c r="P6">
        <f t="shared" si="4"/>
        <v>2</v>
      </c>
      <c r="Q6" t="s">
        <v>22</v>
      </c>
      <c r="R6" t="s">
        <v>24</v>
      </c>
    </row>
    <row r="7" spans="1:18" ht="21.6">
      <c r="A7" s="6">
        <v>45832</v>
      </c>
      <c r="B7" s="7" t="s">
        <v>14</v>
      </c>
      <c r="C7" s="8">
        <v>0.47916666666666669</v>
      </c>
      <c r="D7" s="8">
        <v>0.60416666666666663</v>
      </c>
      <c r="E7" s="9">
        <v>3</v>
      </c>
      <c r="F7" s="10">
        <v>6</v>
      </c>
      <c r="G7" s="124" t="s">
        <v>96</v>
      </c>
      <c r="H7" s="124"/>
      <c r="J7" s="11">
        <f t="shared" si="0"/>
        <v>45832</v>
      </c>
      <c r="K7" s="12">
        <f t="shared" si="1"/>
        <v>0.47916666666666669</v>
      </c>
      <c r="L7" t="s">
        <v>21</v>
      </c>
      <c r="M7" s="12">
        <f t="shared" si="2"/>
        <v>0.60416666666666663</v>
      </c>
      <c r="N7" t="str">
        <f t="shared" si="3"/>
        <v>第六節PSG小組準備</v>
      </c>
      <c r="O7" t="s">
        <v>23</v>
      </c>
      <c r="P7">
        <f t="shared" si="4"/>
        <v>3</v>
      </c>
      <c r="Q7" t="s">
        <v>22</v>
      </c>
      <c r="R7" t="s">
        <v>24</v>
      </c>
    </row>
    <row r="8" spans="1:18" ht="21.6">
      <c r="A8" s="6">
        <v>45825</v>
      </c>
      <c r="B8" s="7" t="s">
        <v>14</v>
      </c>
      <c r="C8" s="8">
        <v>0.6875</v>
      </c>
      <c r="D8" s="8">
        <v>0.72916666666666663</v>
      </c>
      <c r="E8" s="9">
        <v>1</v>
      </c>
      <c r="F8" s="10">
        <v>6</v>
      </c>
      <c r="G8" s="124" t="s">
        <v>97</v>
      </c>
      <c r="H8" s="124"/>
      <c r="J8" s="11">
        <f t="shared" si="0"/>
        <v>45825</v>
      </c>
      <c r="K8" s="12">
        <f t="shared" si="1"/>
        <v>0.6875</v>
      </c>
      <c r="L8" t="s">
        <v>21</v>
      </c>
      <c r="M8" s="12">
        <f t="shared" si="2"/>
        <v>0.72916666666666663</v>
      </c>
      <c r="N8" t="str">
        <f t="shared" si="3"/>
        <v>第五節PSG小組檢討</v>
      </c>
      <c r="O8" t="s">
        <v>23</v>
      </c>
      <c r="P8">
        <f t="shared" si="4"/>
        <v>1</v>
      </c>
      <c r="Q8" t="s">
        <v>22</v>
      </c>
      <c r="R8" t="s">
        <v>24</v>
      </c>
    </row>
    <row r="9" spans="1:18" ht="21.6">
      <c r="A9" s="6">
        <v>45825</v>
      </c>
      <c r="B9" s="7" t="s">
        <v>14</v>
      </c>
      <c r="C9" s="8">
        <v>0.60416666666666663</v>
      </c>
      <c r="D9" s="8">
        <v>0.6875</v>
      </c>
      <c r="E9" s="9">
        <v>2</v>
      </c>
      <c r="F9" s="10">
        <v>6</v>
      </c>
      <c r="G9" s="124" t="s">
        <v>98</v>
      </c>
      <c r="H9" s="124"/>
      <c r="J9" s="11">
        <f t="shared" si="0"/>
        <v>45825</v>
      </c>
      <c r="K9" s="12">
        <f t="shared" si="1"/>
        <v>0.60416666666666663</v>
      </c>
      <c r="L9" t="s">
        <v>21</v>
      </c>
      <c r="M9" s="12">
        <f t="shared" si="2"/>
        <v>0.6875</v>
      </c>
      <c r="N9" t="str">
        <f t="shared" si="3"/>
        <v>第五節PSG小組</v>
      </c>
      <c r="O9" t="s">
        <v>23</v>
      </c>
      <c r="P9">
        <f t="shared" si="4"/>
        <v>2</v>
      </c>
      <c r="Q9" t="s">
        <v>22</v>
      </c>
      <c r="R9" t="s">
        <v>24</v>
      </c>
    </row>
    <row r="10" spans="1:18" ht="21.6">
      <c r="A10" s="6">
        <v>45825</v>
      </c>
      <c r="B10" s="7" t="s">
        <v>14</v>
      </c>
      <c r="C10" s="8">
        <v>0.47916666666666669</v>
      </c>
      <c r="D10" s="8">
        <v>0.60416666666666663</v>
      </c>
      <c r="E10" s="9">
        <v>3</v>
      </c>
      <c r="F10" s="10">
        <v>6</v>
      </c>
      <c r="G10" s="124" t="s">
        <v>99</v>
      </c>
      <c r="H10" s="124"/>
      <c r="J10" s="11">
        <f>A10</f>
        <v>45825</v>
      </c>
      <c r="K10" s="12">
        <f>C10</f>
        <v>0.47916666666666669</v>
      </c>
      <c r="L10" t="s">
        <v>21</v>
      </c>
      <c r="M10" s="12">
        <f>D10</f>
        <v>0.60416666666666663</v>
      </c>
      <c r="N10" t="str">
        <f>G10</f>
        <v>第五節PSG小組準備</v>
      </c>
      <c r="O10" t="s">
        <v>23</v>
      </c>
      <c r="P10">
        <f>E10</f>
        <v>3</v>
      </c>
      <c r="Q10" t="s">
        <v>22</v>
      </c>
      <c r="R10" t="s">
        <v>24</v>
      </c>
    </row>
    <row r="11" spans="1:18" ht="21.6">
      <c r="A11" s="6">
        <v>45818</v>
      </c>
      <c r="B11" s="7" t="s">
        <v>14</v>
      </c>
      <c r="C11" s="8">
        <v>0.6875</v>
      </c>
      <c r="D11" s="8">
        <v>0.72916666666666663</v>
      </c>
      <c r="E11" s="9">
        <v>1</v>
      </c>
      <c r="F11" s="10">
        <v>6</v>
      </c>
      <c r="G11" s="124" t="s">
        <v>100</v>
      </c>
      <c r="H11" s="124"/>
      <c r="J11" s="11">
        <f t="shared" ref="J11:J16" si="5">A11</f>
        <v>45818</v>
      </c>
      <c r="K11" s="12">
        <f t="shared" ref="K11:K16" si="6">C11</f>
        <v>0.6875</v>
      </c>
      <c r="L11" t="s">
        <v>21</v>
      </c>
      <c r="M11" s="12">
        <f t="shared" ref="M11:M16" si="7">D11</f>
        <v>0.72916666666666663</v>
      </c>
      <c r="N11" t="str">
        <f t="shared" ref="N11:N16" si="8">G11</f>
        <v>第四節PSG小組檢討</v>
      </c>
      <c r="O11" t="s">
        <v>23</v>
      </c>
      <c r="P11">
        <f t="shared" ref="P11:P16" si="9">E11</f>
        <v>1</v>
      </c>
      <c r="Q11" t="s">
        <v>22</v>
      </c>
      <c r="R11" t="s">
        <v>24</v>
      </c>
    </row>
    <row r="12" spans="1:18" ht="21.6">
      <c r="A12" s="6">
        <v>45818</v>
      </c>
      <c r="B12" s="7" t="s">
        <v>14</v>
      </c>
      <c r="C12" s="8">
        <v>0.60416666666666663</v>
      </c>
      <c r="D12" s="8">
        <v>0.6875</v>
      </c>
      <c r="E12" s="9">
        <v>2</v>
      </c>
      <c r="F12" s="10">
        <v>6</v>
      </c>
      <c r="G12" s="124" t="s">
        <v>101</v>
      </c>
      <c r="H12" s="124"/>
      <c r="J12" s="11">
        <f t="shared" si="5"/>
        <v>45818</v>
      </c>
      <c r="K12" s="12">
        <f t="shared" si="6"/>
        <v>0.60416666666666663</v>
      </c>
      <c r="L12" t="s">
        <v>21</v>
      </c>
      <c r="M12" s="12">
        <f t="shared" si="7"/>
        <v>0.6875</v>
      </c>
      <c r="N12" t="str">
        <f t="shared" si="8"/>
        <v>第四節PSG小組</v>
      </c>
      <c r="O12" t="s">
        <v>23</v>
      </c>
      <c r="P12">
        <f t="shared" si="9"/>
        <v>2</v>
      </c>
      <c r="Q12" t="s">
        <v>22</v>
      </c>
      <c r="R12" t="s">
        <v>24</v>
      </c>
    </row>
    <row r="13" spans="1:18" ht="21.6">
      <c r="A13" s="6">
        <v>45818</v>
      </c>
      <c r="B13" s="7" t="s">
        <v>14</v>
      </c>
      <c r="C13" s="8">
        <v>0.47916666666666669</v>
      </c>
      <c r="D13" s="8">
        <v>0.60416666666666663</v>
      </c>
      <c r="E13" s="9">
        <v>3</v>
      </c>
      <c r="F13" s="10">
        <v>6</v>
      </c>
      <c r="G13" s="124" t="s">
        <v>102</v>
      </c>
      <c r="H13" s="124"/>
      <c r="J13" s="11">
        <f t="shared" si="5"/>
        <v>45818</v>
      </c>
      <c r="K13" s="12">
        <f t="shared" si="6"/>
        <v>0.47916666666666669</v>
      </c>
      <c r="L13" t="s">
        <v>21</v>
      </c>
      <c r="M13" s="12">
        <f t="shared" si="7"/>
        <v>0.60416666666666663</v>
      </c>
      <c r="N13" t="str">
        <f t="shared" si="8"/>
        <v>第四節PSG小組準備</v>
      </c>
      <c r="O13" t="s">
        <v>23</v>
      </c>
      <c r="P13">
        <f t="shared" si="9"/>
        <v>3</v>
      </c>
      <c r="Q13" t="s">
        <v>22</v>
      </c>
      <c r="R13" t="s">
        <v>24</v>
      </c>
    </row>
    <row r="14" spans="1:18" ht="21.6">
      <c r="A14" s="6"/>
      <c r="B14" s="7"/>
      <c r="C14" s="8"/>
      <c r="D14" s="8"/>
      <c r="E14" s="9"/>
      <c r="F14" s="10"/>
      <c r="G14" s="124"/>
      <c r="H14" s="124"/>
      <c r="J14" s="11">
        <f t="shared" si="5"/>
        <v>0</v>
      </c>
      <c r="K14" s="12">
        <f t="shared" si="6"/>
        <v>0</v>
      </c>
      <c r="L14" t="s">
        <v>21</v>
      </c>
      <c r="M14" s="12">
        <f t="shared" si="7"/>
        <v>0</v>
      </c>
      <c r="N14">
        <f t="shared" si="8"/>
        <v>0</v>
      </c>
      <c r="O14" t="s">
        <v>23</v>
      </c>
      <c r="P14">
        <f t="shared" si="9"/>
        <v>0</v>
      </c>
      <c r="Q14" t="s">
        <v>22</v>
      </c>
      <c r="R14" t="s">
        <v>24</v>
      </c>
    </row>
    <row r="15" spans="1:18" ht="21.6">
      <c r="A15" s="6"/>
      <c r="B15" s="7"/>
      <c r="C15" s="8"/>
      <c r="D15" s="8"/>
      <c r="E15" s="9"/>
      <c r="F15" s="10"/>
      <c r="G15" s="124"/>
      <c r="H15" s="124"/>
      <c r="J15" s="11">
        <f t="shared" si="5"/>
        <v>0</v>
      </c>
      <c r="K15" s="12">
        <f t="shared" si="6"/>
        <v>0</v>
      </c>
      <c r="L15" t="s">
        <v>21</v>
      </c>
      <c r="M15" s="12">
        <f t="shared" si="7"/>
        <v>0</v>
      </c>
      <c r="N15">
        <f t="shared" si="8"/>
        <v>0</v>
      </c>
      <c r="O15" t="s">
        <v>23</v>
      </c>
      <c r="P15">
        <f t="shared" si="9"/>
        <v>0</v>
      </c>
      <c r="Q15" t="s">
        <v>22</v>
      </c>
      <c r="R15" t="s">
        <v>24</v>
      </c>
    </row>
    <row r="16" spans="1:18" ht="21.6">
      <c r="A16" s="6"/>
      <c r="B16" s="7"/>
      <c r="C16" s="8"/>
      <c r="D16" s="8"/>
      <c r="E16" s="9"/>
      <c r="F16" s="10"/>
      <c r="G16" s="124"/>
      <c r="H16" s="124"/>
      <c r="J16" s="11">
        <f t="shared" si="5"/>
        <v>0</v>
      </c>
      <c r="K16" s="12">
        <f t="shared" si="6"/>
        <v>0</v>
      </c>
      <c r="L16" t="s">
        <v>21</v>
      </c>
      <c r="M16" s="12">
        <f t="shared" si="7"/>
        <v>0</v>
      </c>
      <c r="N16">
        <f t="shared" si="8"/>
        <v>0</v>
      </c>
      <c r="O16" t="s">
        <v>23</v>
      </c>
      <c r="P16">
        <f t="shared" si="9"/>
        <v>0</v>
      </c>
      <c r="Q16" t="s">
        <v>22</v>
      </c>
      <c r="R16" t="s">
        <v>24</v>
      </c>
    </row>
  </sheetData>
  <mergeCells count="14">
    <mergeCell ref="G16:H16"/>
    <mergeCell ref="G9:H9"/>
    <mergeCell ref="G10:H10"/>
    <mergeCell ref="G11:H11"/>
    <mergeCell ref="G12:H12"/>
    <mergeCell ref="G14:H14"/>
    <mergeCell ref="G15:H15"/>
    <mergeCell ref="G13:H13"/>
    <mergeCell ref="G8:H8"/>
    <mergeCell ref="G3:H3"/>
    <mergeCell ref="G4:H4"/>
    <mergeCell ref="G5:H5"/>
    <mergeCell ref="G6:H6"/>
    <mergeCell ref="G7:H7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7BC4-D42B-40EB-AD94-054B320BB48A}">
  <dimension ref="A3:R9"/>
  <sheetViews>
    <sheetView topLeftCell="C1" zoomScale="80" zoomScaleNormal="80" workbookViewId="0">
      <selection activeCell="J4" sqref="J3:R7"/>
    </sheetView>
  </sheetViews>
  <sheetFormatPr defaultRowHeight="16.2"/>
  <cols>
    <col min="1" max="1" width="20.88671875" customWidth="1"/>
    <col min="2" max="2" width="35.33203125" customWidth="1"/>
    <col min="8" max="8" width="27.21875" customWidth="1"/>
    <col min="10" max="10" width="9.6640625" bestFit="1" customWidth="1"/>
    <col min="11" max="11" width="9" customWidth="1"/>
    <col min="14" max="14" width="21.88671875" customWidth="1"/>
    <col min="15" max="15" width="3.21875" customWidth="1"/>
    <col min="16" max="16" width="2.44140625" customWidth="1"/>
    <col min="17" max="17" width="3.21875" customWidth="1"/>
  </cols>
  <sheetData>
    <row r="3" spans="1:18" ht="22.2" thickBot="1">
      <c r="A3" s="57">
        <v>45831</v>
      </c>
      <c r="B3" s="58" t="s">
        <v>117</v>
      </c>
      <c r="C3" s="59">
        <v>0.875</v>
      </c>
      <c r="D3" s="59">
        <v>0.89583333333333337</v>
      </c>
      <c r="E3" s="58">
        <v>0.5</v>
      </c>
      <c r="F3" s="58">
        <v>2</v>
      </c>
      <c r="G3" s="127" t="s">
        <v>39</v>
      </c>
      <c r="H3" s="128"/>
      <c r="J3" s="11">
        <f>A3</f>
        <v>45831</v>
      </c>
      <c r="K3" s="12">
        <f t="shared" ref="K3" si="0">C3</f>
        <v>0.875</v>
      </c>
      <c r="L3" t="s">
        <v>21</v>
      </c>
      <c r="M3" s="12">
        <f t="shared" ref="M3" si="1">D3</f>
        <v>0.89583333333333337</v>
      </c>
      <c r="N3" t="str">
        <f t="shared" ref="N3:N9" si="2">G3</f>
        <v>電話聯絡/慰問</v>
      </c>
      <c r="O3" t="s">
        <v>23</v>
      </c>
      <c r="P3">
        <f t="shared" ref="P3" si="3">E3</f>
        <v>0.5</v>
      </c>
      <c r="Q3" t="s">
        <v>22</v>
      </c>
      <c r="R3" t="s">
        <v>24</v>
      </c>
    </row>
    <row r="4" spans="1:18" ht="19.8">
      <c r="A4" s="57">
        <v>45818</v>
      </c>
      <c r="B4" s="58" t="s">
        <v>27</v>
      </c>
      <c r="C4" s="59">
        <v>0.5625</v>
      </c>
      <c r="D4" s="59">
        <v>0.64583333333333337</v>
      </c>
      <c r="E4" s="58">
        <v>2</v>
      </c>
      <c r="F4" s="58">
        <v>1</v>
      </c>
      <c r="G4" s="133" t="s">
        <v>29</v>
      </c>
      <c r="H4" s="134"/>
      <c r="J4" s="11">
        <f t="shared" ref="J4:J9" si="4">A4</f>
        <v>45818</v>
      </c>
      <c r="K4" s="12">
        <f t="shared" ref="K4:K9" si="5">C4</f>
        <v>0.5625</v>
      </c>
      <c r="L4" t="s">
        <v>21</v>
      </c>
      <c r="M4" s="12">
        <f t="shared" ref="M4:M9" si="6">D4</f>
        <v>0.64583333333333337</v>
      </c>
      <c r="N4" t="str">
        <f t="shared" si="2"/>
        <v>上門/外出接觸及探訪</v>
      </c>
      <c r="O4" t="s">
        <v>23</v>
      </c>
      <c r="P4">
        <f t="shared" ref="P4:P9" si="7">E4</f>
        <v>2</v>
      </c>
      <c r="Q4" t="s">
        <v>22</v>
      </c>
      <c r="R4" t="s">
        <v>24</v>
      </c>
    </row>
    <row r="5" spans="1:18" ht="21.6" customHeight="1">
      <c r="A5" s="57">
        <v>45818</v>
      </c>
      <c r="B5" s="58" t="s">
        <v>118</v>
      </c>
      <c r="C5" s="59">
        <v>0.54166666666666663</v>
      </c>
      <c r="D5" s="59">
        <v>0.5625</v>
      </c>
      <c r="E5" s="58">
        <v>0.5</v>
      </c>
      <c r="F5" s="58">
        <v>1</v>
      </c>
      <c r="G5" s="129" t="s">
        <v>29</v>
      </c>
      <c r="H5" s="130"/>
      <c r="J5" s="11">
        <f t="shared" si="4"/>
        <v>45818</v>
      </c>
      <c r="K5" s="12">
        <f t="shared" si="5"/>
        <v>0.54166666666666663</v>
      </c>
      <c r="L5" t="s">
        <v>21</v>
      </c>
      <c r="M5" s="12">
        <f t="shared" si="6"/>
        <v>0.5625</v>
      </c>
      <c r="N5" t="str">
        <f t="shared" si="2"/>
        <v>上門/外出接觸及探訪</v>
      </c>
      <c r="O5" t="s">
        <v>23</v>
      </c>
      <c r="P5">
        <f t="shared" si="7"/>
        <v>0.5</v>
      </c>
      <c r="Q5" t="s">
        <v>22</v>
      </c>
      <c r="R5" t="s">
        <v>24</v>
      </c>
    </row>
    <row r="6" spans="1:18" ht="22.2" thickBot="1">
      <c r="A6" s="57">
        <v>45812</v>
      </c>
      <c r="B6" s="58" t="s">
        <v>119</v>
      </c>
      <c r="C6" s="59">
        <v>0.5625</v>
      </c>
      <c r="D6" s="59">
        <v>0.58333333333333337</v>
      </c>
      <c r="E6" s="58">
        <v>0.5</v>
      </c>
      <c r="F6" s="58">
        <v>2</v>
      </c>
      <c r="G6" s="127" t="s">
        <v>39</v>
      </c>
      <c r="H6" s="128"/>
      <c r="J6" s="11">
        <f t="shared" si="4"/>
        <v>45812</v>
      </c>
      <c r="K6" s="12">
        <f t="shared" si="5"/>
        <v>0.5625</v>
      </c>
      <c r="L6" t="s">
        <v>21</v>
      </c>
      <c r="M6" s="12">
        <f t="shared" si="6"/>
        <v>0.58333333333333337</v>
      </c>
      <c r="N6" t="str">
        <f t="shared" si="2"/>
        <v>電話聯絡/慰問</v>
      </c>
      <c r="O6" t="s">
        <v>23</v>
      </c>
      <c r="P6">
        <f t="shared" si="7"/>
        <v>0.5</v>
      </c>
      <c r="Q6" t="s">
        <v>22</v>
      </c>
      <c r="R6" t="s">
        <v>24</v>
      </c>
    </row>
    <row r="7" spans="1:18" ht="20.399999999999999">
      <c r="A7" s="57">
        <v>45812</v>
      </c>
      <c r="B7" s="58" t="s">
        <v>117</v>
      </c>
      <c r="C7" s="59">
        <v>0.54166666666666663</v>
      </c>
      <c r="D7" s="59">
        <v>0.5625</v>
      </c>
      <c r="E7" s="58">
        <v>0.5</v>
      </c>
      <c r="F7" s="58">
        <v>2</v>
      </c>
      <c r="G7" s="131" t="s">
        <v>39</v>
      </c>
      <c r="H7" s="132"/>
      <c r="J7" s="11">
        <f t="shared" si="4"/>
        <v>45812</v>
      </c>
      <c r="K7" s="12">
        <f t="shared" si="5"/>
        <v>0.54166666666666663</v>
      </c>
      <c r="L7" t="s">
        <v>21</v>
      </c>
      <c r="M7" s="12">
        <f t="shared" si="6"/>
        <v>0.5625</v>
      </c>
      <c r="N7" t="str">
        <f t="shared" si="2"/>
        <v>電話聯絡/慰問</v>
      </c>
      <c r="O7" t="s">
        <v>23</v>
      </c>
      <c r="P7">
        <f t="shared" si="7"/>
        <v>0.5</v>
      </c>
      <c r="Q7" t="s">
        <v>22</v>
      </c>
      <c r="R7" t="s">
        <v>24</v>
      </c>
    </row>
    <row r="8" spans="1:18" ht="21.6">
      <c r="A8" s="24"/>
      <c r="B8" s="21"/>
      <c r="C8" s="13"/>
      <c r="D8" s="14"/>
      <c r="E8" s="18"/>
      <c r="F8" s="19"/>
      <c r="G8" s="131"/>
      <c r="H8" s="132"/>
      <c r="J8" s="11">
        <f t="shared" si="4"/>
        <v>0</v>
      </c>
      <c r="K8" s="12">
        <f t="shared" si="5"/>
        <v>0</v>
      </c>
      <c r="L8" t="s">
        <v>21</v>
      </c>
      <c r="M8" s="12">
        <f t="shared" si="6"/>
        <v>0</v>
      </c>
      <c r="N8">
        <f t="shared" si="2"/>
        <v>0</v>
      </c>
      <c r="O8" t="s">
        <v>23</v>
      </c>
      <c r="P8">
        <f t="shared" si="7"/>
        <v>0</v>
      </c>
      <c r="Q8" t="s">
        <v>22</v>
      </c>
      <c r="R8" t="s">
        <v>24</v>
      </c>
    </row>
    <row r="9" spans="1:18" ht="22.2" thickBot="1">
      <c r="A9" s="24"/>
      <c r="B9" s="21"/>
      <c r="C9" s="13"/>
      <c r="D9" s="14"/>
      <c r="E9" s="18"/>
      <c r="F9" s="19"/>
      <c r="G9" s="127"/>
      <c r="H9" s="128"/>
      <c r="J9" s="11">
        <f t="shared" si="4"/>
        <v>0</v>
      </c>
      <c r="K9" s="12">
        <f t="shared" si="5"/>
        <v>0</v>
      </c>
      <c r="L9" t="s">
        <v>21</v>
      </c>
      <c r="M9" s="12">
        <f t="shared" si="6"/>
        <v>0</v>
      </c>
      <c r="N9">
        <f t="shared" si="2"/>
        <v>0</v>
      </c>
      <c r="O9" t="s">
        <v>23</v>
      </c>
      <c r="P9">
        <f t="shared" si="7"/>
        <v>0</v>
      </c>
      <c r="Q9" t="s">
        <v>22</v>
      </c>
      <c r="R9" t="s">
        <v>24</v>
      </c>
    </row>
  </sheetData>
  <mergeCells count="7">
    <mergeCell ref="G9:H9"/>
    <mergeCell ref="G3:H3"/>
    <mergeCell ref="G5:H5"/>
    <mergeCell ref="G6:H6"/>
    <mergeCell ref="G7:H7"/>
    <mergeCell ref="G4:H4"/>
    <mergeCell ref="G8:H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66AF-E2CD-4509-BC26-CC8E92C526D5}">
  <dimension ref="A3:S13"/>
  <sheetViews>
    <sheetView zoomScale="70" zoomScaleNormal="70" workbookViewId="0">
      <selection activeCell="J3" sqref="J3:S6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15.6640625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2.44140625" customWidth="1"/>
    <col min="18" max="18" width="3.21875" customWidth="1"/>
  </cols>
  <sheetData>
    <row r="3" spans="1:19" ht="23.4" customHeight="1">
      <c r="A3" s="6">
        <v>45838</v>
      </c>
      <c r="B3" s="54" t="s">
        <v>103</v>
      </c>
      <c r="C3" s="8"/>
      <c r="D3" s="8"/>
      <c r="E3" s="9">
        <v>1</v>
      </c>
      <c r="F3" s="10">
        <v>1</v>
      </c>
      <c r="G3" s="124" t="s">
        <v>105</v>
      </c>
      <c r="H3" s="140"/>
      <c r="J3" s="11">
        <f>A3</f>
        <v>45838</v>
      </c>
      <c r="K3" s="11" t="str">
        <f>B3</f>
        <v>梁芷玲</v>
      </c>
      <c r="L3" s="12">
        <f>C3</f>
        <v>0</v>
      </c>
      <c r="M3" t="s">
        <v>21</v>
      </c>
      <c r="N3" s="12">
        <f>D3</f>
        <v>0</v>
      </c>
      <c r="O3" t="str">
        <f>G3</f>
        <v>上門/外出接觸及探訪</v>
      </c>
      <c r="P3" t="s">
        <v>23</v>
      </c>
      <c r="Q3">
        <f>E3</f>
        <v>1</v>
      </c>
      <c r="R3" t="s">
        <v>22</v>
      </c>
      <c r="S3" t="s">
        <v>24</v>
      </c>
    </row>
    <row r="4" spans="1:19" ht="21.6" customHeight="1">
      <c r="A4" s="6">
        <v>45826</v>
      </c>
      <c r="B4" s="55" t="s">
        <v>31</v>
      </c>
      <c r="C4" s="8">
        <v>0.63541666666666663</v>
      </c>
      <c r="D4" s="8">
        <v>0.65625</v>
      </c>
      <c r="E4" s="9">
        <v>0.5</v>
      </c>
      <c r="F4" s="10">
        <v>2</v>
      </c>
      <c r="G4" s="124" t="s">
        <v>106</v>
      </c>
      <c r="H4" s="140"/>
      <c r="J4" s="11">
        <f t="shared" ref="J4:L13" si="0">A4</f>
        <v>45826</v>
      </c>
      <c r="K4" s="11" t="str">
        <f t="shared" si="0"/>
        <v>梁鳳蓮</v>
      </c>
      <c r="L4" s="12">
        <f>C4</f>
        <v>0.63541666666666663</v>
      </c>
      <c r="M4" t="s">
        <v>21</v>
      </c>
      <c r="N4" s="12">
        <f>D4</f>
        <v>0.65625</v>
      </c>
      <c r="O4" t="str">
        <f t="shared" ref="O4:O13" si="1">G4</f>
        <v>電話聯絡/慰問</v>
      </c>
      <c r="P4" t="s">
        <v>23</v>
      </c>
      <c r="Q4">
        <f>E4</f>
        <v>0.5</v>
      </c>
      <c r="R4" t="s">
        <v>22</v>
      </c>
      <c r="S4" t="s">
        <v>24</v>
      </c>
    </row>
    <row r="5" spans="1:19" ht="23.4" customHeight="1">
      <c r="A5" s="6">
        <v>45826</v>
      </c>
      <c r="B5" s="55" t="s">
        <v>30</v>
      </c>
      <c r="C5" s="8">
        <v>0.63541666666666663</v>
      </c>
      <c r="D5" s="8">
        <v>0.65625</v>
      </c>
      <c r="E5" s="9">
        <v>0.5</v>
      </c>
      <c r="F5" s="10">
        <v>2</v>
      </c>
      <c r="G5" s="124" t="s">
        <v>106</v>
      </c>
      <c r="H5" s="140"/>
      <c r="J5" s="11">
        <f t="shared" si="0"/>
        <v>45826</v>
      </c>
      <c r="K5" s="11" t="str">
        <f t="shared" si="0"/>
        <v>李芷玲</v>
      </c>
      <c r="L5" s="12">
        <f>C5</f>
        <v>0.63541666666666663</v>
      </c>
      <c r="M5" t="s">
        <v>21</v>
      </c>
      <c r="N5" s="12">
        <f>D5</f>
        <v>0.65625</v>
      </c>
      <c r="O5" t="str">
        <f t="shared" si="1"/>
        <v>電話聯絡/慰問</v>
      </c>
      <c r="P5" t="s">
        <v>23</v>
      </c>
      <c r="Q5">
        <f>E5</f>
        <v>0.5</v>
      </c>
      <c r="R5" t="s">
        <v>22</v>
      </c>
      <c r="S5" t="s">
        <v>24</v>
      </c>
    </row>
    <row r="6" spans="1:19" ht="23.4" customHeight="1" thickBot="1">
      <c r="A6" s="6">
        <v>45818</v>
      </c>
      <c r="B6" s="55" t="s">
        <v>27</v>
      </c>
      <c r="C6" s="8">
        <v>0.5625</v>
      </c>
      <c r="D6" s="8">
        <v>0.64583333333333337</v>
      </c>
      <c r="E6" s="9">
        <v>2</v>
      </c>
      <c r="F6" s="10" t="s">
        <v>104</v>
      </c>
      <c r="G6" s="124" t="s">
        <v>105</v>
      </c>
      <c r="H6" s="140"/>
      <c r="J6" s="11">
        <f t="shared" si="0"/>
        <v>45818</v>
      </c>
      <c r="K6" s="11" t="str">
        <f t="shared" si="0"/>
        <v>李蓮香</v>
      </c>
      <c r="L6" s="12">
        <f>C6</f>
        <v>0.5625</v>
      </c>
      <c r="M6" t="s">
        <v>21</v>
      </c>
      <c r="N6" s="12">
        <f>D6</f>
        <v>0.64583333333333337</v>
      </c>
      <c r="O6" t="str">
        <f t="shared" si="1"/>
        <v>上門/外出接觸及探訪</v>
      </c>
      <c r="P6" t="s">
        <v>23</v>
      </c>
      <c r="Q6">
        <f>E6</f>
        <v>2</v>
      </c>
      <c r="R6" t="s">
        <v>22</v>
      </c>
      <c r="S6" t="s">
        <v>24</v>
      </c>
    </row>
    <row r="7" spans="1:19" ht="24" thickBot="1">
      <c r="A7" s="15"/>
      <c r="B7" s="25"/>
      <c r="C7" s="26"/>
      <c r="D7" s="14"/>
      <c r="E7" s="27"/>
      <c r="F7" s="28"/>
      <c r="G7" s="135"/>
      <c r="H7" s="136"/>
      <c r="J7" s="11">
        <f>A7</f>
        <v>0</v>
      </c>
      <c r="K7" s="11">
        <f t="shared" si="0"/>
        <v>0</v>
      </c>
      <c r="L7" s="12">
        <f>C7</f>
        <v>0</v>
      </c>
      <c r="M7" t="s">
        <v>21</v>
      </c>
      <c r="N7" s="12">
        <f>D7</f>
        <v>0</v>
      </c>
      <c r="O7">
        <f t="shared" si="1"/>
        <v>0</v>
      </c>
      <c r="P7" t="s">
        <v>23</v>
      </c>
      <c r="Q7">
        <f>E7</f>
        <v>0</v>
      </c>
      <c r="R7" t="s">
        <v>22</v>
      </c>
      <c r="S7" t="s">
        <v>24</v>
      </c>
    </row>
    <row r="8" spans="1:19" ht="23.4" customHeight="1">
      <c r="A8" s="15"/>
      <c r="B8" s="16"/>
      <c r="C8" s="29"/>
      <c r="D8" s="30"/>
      <c r="E8" s="18"/>
      <c r="F8" s="19"/>
      <c r="G8" s="135"/>
      <c r="H8" s="136"/>
      <c r="J8" s="11">
        <f t="shared" ref="J8:J13" si="2">A8</f>
        <v>0</v>
      </c>
      <c r="K8" s="11">
        <f t="shared" si="0"/>
        <v>0</v>
      </c>
      <c r="L8" s="12">
        <f t="shared" si="0"/>
        <v>0</v>
      </c>
      <c r="M8" t="s">
        <v>21</v>
      </c>
      <c r="N8" s="12">
        <f t="shared" ref="N8:N13" si="3">D8</f>
        <v>0</v>
      </c>
      <c r="O8">
        <f t="shared" si="1"/>
        <v>0</v>
      </c>
      <c r="P8" t="s">
        <v>23</v>
      </c>
      <c r="Q8">
        <f t="shared" ref="Q8:Q13" si="4">E8</f>
        <v>0</v>
      </c>
      <c r="R8" t="s">
        <v>22</v>
      </c>
      <c r="S8" t="s">
        <v>24</v>
      </c>
    </row>
    <row r="9" spans="1:19" ht="21.6">
      <c r="A9" s="6"/>
      <c r="B9" s="7"/>
      <c r="C9" s="8"/>
      <c r="D9" s="8"/>
      <c r="E9" s="9"/>
      <c r="F9" s="10"/>
      <c r="G9" s="137"/>
      <c r="H9" s="132"/>
      <c r="J9" s="11">
        <f t="shared" si="2"/>
        <v>0</v>
      </c>
      <c r="K9" s="11"/>
      <c r="L9" s="12">
        <f t="shared" si="0"/>
        <v>0</v>
      </c>
      <c r="M9" t="s">
        <v>21</v>
      </c>
      <c r="N9" s="12">
        <f t="shared" si="3"/>
        <v>0</v>
      </c>
      <c r="O9">
        <f t="shared" si="1"/>
        <v>0</v>
      </c>
      <c r="P9" t="s">
        <v>23</v>
      </c>
      <c r="Q9">
        <f t="shared" si="4"/>
        <v>0</v>
      </c>
      <c r="R9" t="s">
        <v>22</v>
      </c>
      <c r="S9" t="s">
        <v>24</v>
      </c>
    </row>
    <row r="10" spans="1:19" ht="21.6">
      <c r="A10" s="15"/>
      <c r="B10" s="21"/>
      <c r="C10" s="13"/>
      <c r="D10" s="14"/>
      <c r="E10" s="18"/>
      <c r="F10" s="19"/>
      <c r="G10" s="138"/>
      <c r="H10" s="139"/>
      <c r="J10" s="11">
        <f t="shared" si="2"/>
        <v>0</v>
      </c>
      <c r="K10" s="11">
        <f t="shared" ref="K10" si="5">B10</f>
        <v>0</v>
      </c>
      <c r="L10" s="12">
        <f>C10</f>
        <v>0</v>
      </c>
      <c r="M10" t="s">
        <v>21</v>
      </c>
      <c r="N10" s="12">
        <f>D10</f>
        <v>0</v>
      </c>
      <c r="O10">
        <f t="shared" ref="O10" si="6">G10</f>
        <v>0</v>
      </c>
      <c r="P10" t="s">
        <v>23</v>
      </c>
      <c r="Q10">
        <f>E10</f>
        <v>0</v>
      </c>
      <c r="R10" t="s">
        <v>22</v>
      </c>
      <c r="S10" t="s">
        <v>24</v>
      </c>
    </row>
    <row r="11" spans="1:19">
      <c r="J11" s="11">
        <f t="shared" si="2"/>
        <v>0</v>
      </c>
      <c r="K11" s="11"/>
      <c r="L11" s="12">
        <f t="shared" si="0"/>
        <v>0</v>
      </c>
      <c r="M11" t="s">
        <v>21</v>
      </c>
      <c r="N11" s="12">
        <f t="shared" si="3"/>
        <v>0</v>
      </c>
      <c r="O11">
        <f t="shared" si="1"/>
        <v>0</v>
      </c>
      <c r="P11" t="s">
        <v>23</v>
      </c>
      <c r="Q11">
        <f t="shared" si="4"/>
        <v>0</v>
      </c>
      <c r="R11" t="s">
        <v>22</v>
      </c>
      <c r="S11" t="s">
        <v>24</v>
      </c>
    </row>
    <row r="12" spans="1:19">
      <c r="J12" s="11">
        <f t="shared" si="2"/>
        <v>0</v>
      </c>
      <c r="K12" s="11"/>
      <c r="L12" s="12">
        <f t="shared" si="0"/>
        <v>0</v>
      </c>
      <c r="M12" t="s">
        <v>21</v>
      </c>
      <c r="N12" s="12">
        <f t="shared" si="3"/>
        <v>0</v>
      </c>
      <c r="O12">
        <f t="shared" si="1"/>
        <v>0</v>
      </c>
      <c r="P12" t="s">
        <v>23</v>
      </c>
      <c r="Q12">
        <f t="shared" si="4"/>
        <v>0</v>
      </c>
      <c r="R12" t="s">
        <v>22</v>
      </c>
      <c r="S12" t="s">
        <v>24</v>
      </c>
    </row>
    <row r="13" spans="1:19">
      <c r="J13" s="11">
        <f t="shared" si="2"/>
        <v>0</v>
      </c>
      <c r="K13" s="11"/>
      <c r="L13" s="12">
        <f t="shared" si="0"/>
        <v>0</v>
      </c>
      <c r="M13" t="s">
        <v>21</v>
      </c>
      <c r="N13" s="12">
        <f t="shared" si="3"/>
        <v>0</v>
      </c>
      <c r="O13">
        <f t="shared" si="1"/>
        <v>0</v>
      </c>
      <c r="P13" t="s">
        <v>23</v>
      </c>
      <c r="Q13">
        <f t="shared" si="4"/>
        <v>0</v>
      </c>
      <c r="R13" t="s">
        <v>22</v>
      </c>
      <c r="S13" t="s">
        <v>24</v>
      </c>
    </row>
  </sheetData>
  <mergeCells count="8">
    <mergeCell ref="G7:H7"/>
    <mergeCell ref="G8:H8"/>
    <mergeCell ref="G9:H9"/>
    <mergeCell ref="G10:H10"/>
    <mergeCell ref="G3:H3"/>
    <mergeCell ref="G4:H4"/>
    <mergeCell ref="G5:H5"/>
    <mergeCell ref="G6:H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CE86-503C-40DA-AE95-9E537F7C0F67}">
  <dimension ref="A3:S11"/>
  <sheetViews>
    <sheetView zoomScale="90" zoomScaleNormal="90" workbookViewId="0">
      <selection activeCell="H25" sqref="H25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>
      <c r="A3" s="6">
        <v>45838</v>
      </c>
      <c r="B3" s="7" t="s">
        <v>110</v>
      </c>
      <c r="C3" s="8"/>
      <c r="D3" s="8"/>
      <c r="E3" s="9">
        <v>1</v>
      </c>
      <c r="F3" s="10">
        <v>1</v>
      </c>
      <c r="G3" s="31"/>
      <c r="H3" s="32"/>
      <c r="J3" s="11">
        <f>A3</f>
        <v>45838</v>
      </c>
      <c r="K3" s="11" t="str">
        <f>B3</f>
        <v>賴慧瓊</v>
      </c>
      <c r="L3" s="12">
        <f>C3</f>
        <v>0</v>
      </c>
      <c r="M3" t="s">
        <v>21</v>
      </c>
      <c r="N3" s="12">
        <f>D3</f>
        <v>0</v>
      </c>
      <c r="O3">
        <f>G3</f>
        <v>0</v>
      </c>
      <c r="P3" t="s">
        <v>23</v>
      </c>
      <c r="Q3" s="20">
        <f>E3</f>
        <v>1</v>
      </c>
      <c r="R3" t="s">
        <v>22</v>
      </c>
      <c r="S3" t="s">
        <v>24</v>
      </c>
    </row>
    <row r="4" spans="1:19" ht="21.6">
      <c r="A4" s="6">
        <v>45834</v>
      </c>
      <c r="B4" s="7" t="s">
        <v>111</v>
      </c>
      <c r="C4" s="8">
        <v>0.80208333333333337</v>
      </c>
      <c r="D4" s="8">
        <v>0.82291666666666674</v>
      </c>
      <c r="E4" s="9">
        <v>0.5</v>
      </c>
      <c r="F4" s="10">
        <v>2</v>
      </c>
      <c r="H4" s="32"/>
      <c r="J4" s="11">
        <f t="shared" ref="J4:L11" si="0">A4</f>
        <v>45834</v>
      </c>
      <c r="K4" s="11" t="str">
        <f t="shared" si="0"/>
        <v>賴惠琼</v>
      </c>
      <c r="L4" s="12">
        <f>C4</f>
        <v>0.80208333333333337</v>
      </c>
      <c r="M4" t="s">
        <v>21</v>
      </c>
      <c r="N4" s="12">
        <f>D4</f>
        <v>0.82291666666666674</v>
      </c>
      <c r="O4">
        <f t="shared" ref="O4:O11" si="1">G4</f>
        <v>0</v>
      </c>
      <c r="P4" t="s">
        <v>23</v>
      </c>
      <c r="Q4" s="20">
        <f>E4</f>
        <v>0.5</v>
      </c>
      <c r="R4" t="s">
        <v>22</v>
      </c>
      <c r="S4" t="s">
        <v>24</v>
      </c>
    </row>
    <row r="5" spans="1:19" ht="21.6">
      <c r="A5" s="6">
        <v>45834</v>
      </c>
      <c r="B5" s="7" t="s">
        <v>112</v>
      </c>
      <c r="C5" s="8">
        <v>0.38541666666666669</v>
      </c>
      <c r="D5" s="8">
        <v>0.40625</v>
      </c>
      <c r="E5" s="9">
        <v>0.5</v>
      </c>
      <c r="F5" s="10">
        <v>2</v>
      </c>
      <c r="G5" s="31"/>
      <c r="H5" s="32"/>
      <c r="J5" s="11">
        <f t="shared" si="0"/>
        <v>45834</v>
      </c>
      <c r="K5" s="11" t="str">
        <f t="shared" si="0"/>
        <v>黃美雲</v>
      </c>
      <c r="L5" s="12">
        <f>C5</f>
        <v>0.38541666666666669</v>
      </c>
      <c r="M5" t="s">
        <v>21</v>
      </c>
      <c r="N5" s="12">
        <f>D5</f>
        <v>0.40625</v>
      </c>
      <c r="O5">
        <f t="shared" si="1"/>
        <v>0</v>
      </c>
      <c r="P5" t="s">
        <v>23</v>
      </c>
      <c r="Q5" s="20">
        <f>E5</f>
        <v>0.5</v>
      </c>
      <c r="R5" t="s">
        <v>22</v>
      </c>
      <c r="S5" t="s">
        <v>24</v>
      </c>
    </row>
    <row r="6" spans="1:19" ht="21.6">
      <c r="A6" s="6">
        <v>45812</v>
      </c>
      <c r="B6" s="7" t="s">
        <v>112</v>
      </c>
      <c r="C6" s="8">
        <v>0.73958333333333337</v>
      </c>
      <c r="D6" s="8">
        <v>0.76041666666666674</v>
      </c>
      <c r="E6" s="9">
        <v>0.5</v>
      </c>
      <c r="F6" s="10">
        <v>2</v>
      </c>
      <c r="G6" s="31"/>
      <c r="H6" s="32"/>
      <c r="J6" s="11">
        <f t="shared" ref="J6" si="2">A6</f>
        <v>45812</v>
      </c>
      <c r="K6" s="11" t="str">
        <f t="shared" ref="K6:K8" si="3">B6</f>
        <v>黃美雲</v>
      </c>
      <c r="L6" s="12">
        <f>C6</f>
        <v>0.73958333333333337</v>
      </c>
      <c r="M6" t="s">
        <v>21</v>
      </c>
      <c r="N6" s="12">
        <f>D6</f>
        <v>0.76041666666666674</v>
      </c>
      <c r="O6">
        <f t="shared" si="1"/>
        <v>0</v>
      </c>
      <c r="P6" t="s">
        <v>23</v>
      </c>
      <c r="Q6" s="20">
        <f>E6</f>
        <v>0.5</v>
      </c>
      <c r="R6" t="s">
        <v>22</v>
      </c>
      <c r="S6" t="s">
        <v>24</v>
      </c>
    </row>
    <row r="7" spans="1:19" ht="21.6">
      <c r="A7" s="6">
        <v>45812</v>
      </c>
      <c r="B7" s="7" t="s">
        <v>111</v>
      </c>
      <c r="C7" s="8">
        <v>0.72916666666666663</v>
      </c>
      <c r="D7" s="8">
        <v>0.75</v>
      </c>
      <c r="E7" s="9">
        <v>0.5</v>
      </c>
      <c r="F7" s="10">
        <v>2</v>
      </c>
      <c r="G7" s="31"/>
      <c r="H7" s="32"/>
      <c r="J7" s="11">
        <f t="shared" ref="J7:J11" si="4">A7</f>
        <v>45812</v>
      </c>
      <c r="K7" s="11" t="str">
        <f t="shared" si="3"/>
        <v>賴惠琼</v>
      </c>
      <c r="L7" s="12">
        <f t="shared" si="0"/>
        <v>0.72916666666666663</v>
      </c>
      <c r="M7" t="s">
        <v>21</v>
      </c>
      <c r="N7" s="12">
        <f t="shared" ref="N7:N11" si="5">D7</f>
        <v>0.75</v>
      </c>
      <c r="O7">
        <f t="shared" si="1"/>
        <v>0</v>
      </c>
      <c r="P7" t="s">
        <v>23</v>
      </c>
      <c r="Q7" s="20">
        <f t="shared" ref="Q7:Q11" si="6">E7</f>
        <v>0.5</v>
      </c>
      <c r="R7" t="s">
        <v>22</v>
      </c>
      <c r="S7" t="s">
        <v>24</v>
      </c>
    </row>
    <row r="8" spans="1:19" ht="21.6">
      <c r="A8" s="6"/>
      <c r="B8" s="7"/>
      <c r="C8" s="8"/>
      <c r="D8" s="8"/>
      <c r="E8" s="9"/>
      <c r="F8" s="10"/>
      <c r="G8" s="141"/>
      <c r="H8" s="142"/>
      <c r="J8" s="11">
        <f t="shared" si="4"/>
        <v>0</v>
      </c>
      <c r="K8" s="11">
        <f t="shared" si="3"/>
        <v>0</v>
      </c>
      <c r="L8" s="12">
        <f t="shared" si="0"/>
        <v>0</v>
      </c>
      <c r="M8" t="s">
        <v>21</v>
      </c>
      <c r="N8" s="12">
        <f t="shared" si="5"/>
        <v>0</v>
      </c>
      <c r="O8">
        <f t="shared" si="1"/>
        <v>0</v>
      </c>
      <c r="P8" t="s">
        <v>23</v>
      </c>
      <c r="Q8" s="20">
        <f t="shared" si="6"/>
        <v>0</v>
      </c>
      <c r="R8" t="s">
        <v>22</v>
      </c>
      <c r="S8" t="s">
        <v>24</v>
      </c>
    </row>
    <row r="9" spans="1:19" ht="21.6">
      <c r="A9" s="15"/>
      <c r="B9" s="21"/>
      <c r="C9" s="13"/>
      <c r="D9" s="14"/>
      <c r="E9" s="18"/>
      <c r="F9" s="19"/>
      <c r="G9" s="138"/>
      <c r="H9" s="139"/>
      <c r="J9" s="11">
        <f t="shared" si="4"/>
        <v>0</v>
      </c>
      <c r="K9" s="11">
        <f t="shared" ref="K9:K10" si="7">B9</f>
        <v>0</v>
      </c>
      <c r="L9" s="12">
        <f>C9</f>
        <v>0</v>
      </c>
      <c r="M9" t="s">
        <v>21</v>
      </c>
      <c r="N9" s="12">
        <f>D9</f>
        <v>0</v>
      </c>
      <c r="O9">
        <f t="shared" si="1"/>
        <v>0</v>
      </c>
      <c r="P9" t="s">
        <v>23</v>
      </c>
      <c r="Q9" s="20">
        <f>E9</f>
        <v>0</v>
      </c>
      <c r="R9" t="s">
        <v>22</v>
      </c>
      <c r="S9" t="s">
        <v>24</v>
      </c>
    </row>
    <row r="10" spans="1:19" ht="21.6">
      <c r="A10" s="15"/>
      <c r="B10" s="21"/>
      <c r="C10" s="13"/>
      <c r="D10" s="14"/>
      <c r="E10" s="18"/>
      <c r="F10" s="19"/>
      <c r="G10" s="138"/>
      <c r="H10" s="139"/>
      <c r="J10" s="11" t="s">
        <v>120</v>
      </c>
      <c r="K10" s="11">
        <f t="shared" si="7"/>
        <v>0</v>
      </c>
      <c r="L10" s="12">
        <f>C10</f>
        <v>0</v>
      </c>
      <c r="M10" t="s">
        <v>21</v>
      </c>
      <c r="N10" s="12">
        <f>D10</f>
        <v>0</v>
      </c>
      <c r="O10">
        <f t="shared" si="1"/>
        <v>0</v>
      </c>
      <c r="P10" t="s">
        <v>23</v>
      </c>
      <c r="Q10" s="20">
        <f>E10</f>
        <v>0</v>
      </c>
      <c r="R10" t="s">
        <v>22</v>
      </c>
      <c r="S10" t="s">
        <v>24</v>
      </c>
    </row>
    <row r="11" spans="1:19">
      <c r="J11" s="11">
        <f t="shared" si="4"/>
        <v>0</v>
      </c>
      <c r="K11" s="11"/>
      <c r="L11" s="12">
        <f t="shared" si="0"/>
        <v>0</v>
      </c>
      <c r="M11" t="s">
        <v>21</v>
      </c>
      <c r="N11" s="12">
        <f t="shared" si="5"/>
        <v>0</v>
      </c>
      <c r="O11">
        <f t="shared" si="1"/>
        <v>0</v>
      </c>
      <c r="P11" t="s">
        <v>23</v>
      </c>
      <c r="Q11" s="20">
        <f t="shared" si="6"/>
        <v>0</v>
      </c>
      <c r="R11" t="s">
        <v>22</v>
      </c>
      <c r="S11" t="s">
        <v>24</v>
      </c>
    </row>
  </sheetData>
  <mergeCells count="3">
    <mergeCell ref="G8:H8"/>
    <mergeCell ref="G9:H9"/>
    <mergeCell ref="G10:H10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FA12-1CEB-49BA-B456-7C82AA0E28EE}">
  <dimension ref="A3:S13"/>
  <sheetViews>
    <sheetView topLeftCell="B1" workbookViewId="0">
      <selection activeCell="J4" sqref="J4:S4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>
      <c r="A3" s="15">
        <v>45764</v>
      </c>
      <c r="B3" s="21" t="s">
        <v>14</v>
      </c>
      <c r="C3" s="13">
        <v>0.41666666666666669</v>
      </c>
      <c r="D3" s="14">
        <v>0.54166666666666663</v>
      </c>
      <c r="E3" s="18">
        <v>3</v>
      </c>
      <c r="F3" s="19">
        <v>6</v>
      </c>
      <c r="G3" s="138" t="s">
        <v>41</v>
      </c>
      <c r="H3" s="139"/>
      <c r="J3" s="11">
        <f t="shared" ref="J3:L9" si="0">A3</f>
        <v>45764</v>
      </c>
      <c r="K3" s="11" t="str">
        <f t="shared" si="0"/>
        <v>/</v>
      </c>
      <c r="L3" s="12">
        <f>C3</f>
        <v>0.41666666666666669</v>
      </c>
      <c r="M3" t="s">
        <v>21</v>
      </c>
      <c r="N3" s="12">
        <f>D3</f>
        <v>0.54166666666666663</v>
      </c>
      <c r="O3" t="str">
        <f t="shared" ref="O3:O9" si="1">G3</f>
        <v>PS 月會</v>
      </c>
      <c r="P3" t="s">
        <v>23</v>
      </c>
      <c r="Q3" s="20">
        <f>E3</f>
        <v>3</v>
      </c>
      <c r="R3" t="s">
        <v>22</v>
      </c>
      <c r="S3" t="s">
        <v>24</v>
      </c>
    </row>
    <row r="4" spans="1:19" ht="21.6">
      <c r="A4" s="15">
        <v>45763</v>
      </c>
      <c r="B4" s="21" t="s">
        <v>14</v>
      </c>
      <c r="C4" s="13">
        <v>0.4375</v>
      </c>
      <c r="D4" s="14">
        <v>0.52083333333333337</v>
      </c>
      <c r="E4" s="18">
        <v>2</v>
      </c>
      <c r="F4" s="19">
        <v>6</v>
      </c>
      <c r="G4" s="138" t="s">
        <v>43</v>
      </c>
      <c r="H4" s="139"/>
      <c r="J4" s="11">
        <f t="shared" si="0"/>
        <v>45763</v>
      </c>
      <c r="K4" s="11" t="str">
        <f t="shared" si="0"/>
        <v>/</v>
      </c>
      <c r="L4" s="12">
        <f>C4</f>
        <v>0.4375</v>
      </c>
      <c r="M4" t="s">
        <v>21</v>
      </c>
      <c r="N4" s="12">
        <f>D4</f>
        <v>0.52083333333333337</v>
      </c>
      <c r="O4" t="str">
        <f t="shared" si="1"/>
        <v>PSG小組督導</v>
      </c>
      <c r="P4" t="s">
        <v>23</v>
      </c>
      <c r="Q4" s="20">
        <f>E4</f>
        <v>2</v>
      </c>
      <c r="R4" t="s">
        <v>22</v>
      </c>
      <c r="S4" t="s">
        <v>24</v>
      </c>
    </row>
    <row r="5" spans="1:19" ht="21.6">
      <c r="A5" s="6"/>
      <c r="B5" s="7"/>
      <c r="C5" s="8"/>
      <c r="D5" s="8"/>
      <c r="E5" s="9"/>
      <c r="F5" s="10"/>
      <c r="G5" s="124"/>
      <c r="H5" s="124"/>
      <c r="J5" s="11">
        <f>A5</f>
        <v>0</v>
      </c>
      <c r="K5" s="11">
        <f t="shared" si="0"/>
        <v>0</v>
      </c>
      <c r="L5" s="12">
        <f>C5</f>
        <v>0</v>
      </c>
      <c r="M5" t="s">
        <v>21</v>
      </c>
      <c r="N5" s="12">
        <f>D5</f>
        <v>0</v>
      </c>
      <c r="O5">
        <f t="shared" si="1"/>
        <v>0</v>
      </c>
      <c r="P5" t="s">
        <v>23</v>
      </c>
      <c r="Q5" s="20">
        <f>E5</f>
        <v>0</v>
      </c>
      <c r="R5" t="s">
        <v>22</v>
      </c>
      <c r="S5" t="s">
        <v>24</v>
      </c>
    </row>
    <row r="6" spans="1:19" ht="21.6">
      <c r="A6" s="6"/>
      <c r="B6" s="7"/>
      <c r="C6" s="8"/>
      <c r="D6" s="8"/>
      <c r="E6" s="9"/>
      <c r="F6" s="10"/>
      <c r="G6" s="124"/>
      <c r="H6" s="124"/>
      <c r="J6" s="11">
        <f t="shared" ref="J6:J9" si="2">A6</f>
        <v>0</v>
      </c>
      <c r="K6" s="11">
        <f t="shared" si="0"/>
        <v>0</v>
      </c>
      <c r="L6" s="12">
        <f>C6</f>
        <v>0</v>
      </c>
      <c r="M6" t="s">
        <v>21</v>
      </c>
      <c r="N6" s="12">
        <f>D6</f>
        <v>0</v>
      </c>
      <c r="O6">
        <f t="shared" si="1"/>
        <v>0</v>
      </c>
      <c r="P6" t="s">
        <v>23</v>
      </c>
      <c r="Q6" s="20">
        <f>E6</f>
        <v>0</v>
      </c>
      <c r="R6" t="s">
        <v>22</v>
      </c>
      <c r="S6" t="s">
        <v>24</v>
      </c>
    </row>
    <row r="7" spans="1:19" ht="21.6">
      <c r="A7" s="6"/>
      <c r="B7" s="7"/>
      <c r="C7" s="8"/>
      <c r="D7" s="8"/>
      <c r="E7" s="9"/>
      <c r="F7" s="10"/>
      <c r="G7" s="124"/>
      <c r="H7" s="124"/>
      <c r="J7" s="11">
        <f t="shared" si="2"/>
        <v>0</v>
      </c>
      <c r="K7" s="11" t="s">
        <v>32</v>
      </c>
      <c r="L7" s="12">
        <f t="shared" si="0"/>
        <v>0</v>
      </c>
      <c r="M7" t="s">
        <v>21</v>
      </c>
      <c r="N7" s="12">
        <f t="shared" ref="N7:N9" si="3">D7</f>
        <v>0</v>
      </c>
      <c r="O7">
        <f t="shared" si="1"/>
        <v>0</v>
      </c>
      <c r="P7" t="s">
        <v>23</v>
      </c>
      <c r="Q7" s="20">
        <f t="shared" ref="Q7:Q9" si="4">E7</f>
        <v>0</v>
      </c>
      <c r="R7" t="s">
        <v>22</v>
      </c>
      <c r="S7" t="s">
        <v>24</v>
      </c>
    </row>
    <row r="8" spans="1:19" ht="21.6">
      <c r="A8" s="6"/>
      <c r="B8" s="7"/>
      <c r="C8" s="8"/>
      <c r="D8" s="8"/>
      <c r="E8" s="9"/>
      <c r="F8" s="10"/>
      <c r="G8" s="124"/>
      <c r="H8" s="124"/>
      <c r="J8" s="11">
        <f t="shared" si="2"/>
        <v>0</v>
      </c>
      <c r="K8" s="11" t="s">
        <v>32</v>
      </c>
      <c r="L8" s="12">
        <f t="shared" si="0"/>
        <v>0</v>
      </c>
      <c r="M8" t="s">
        <v>21</v>
      </c>
      <c r="N8" s="12">
        <f t="shared" si="3"/>
        <v>0</v>
      </c>
      <c r="O8">
        <f t="shared" si="1"/>
        <v>0</v>
      </c>
      <c r="P8" t="s">
        <v>23</v>
      </c>
      <c r="Q8" s="20">
        <f t="shared" si="4"/>
        <v>0</v>
      </c>
      <c r="R8" t="s">
        <v>22</v>
      </c>
      <c r="S8" t="s">
        <v>24</v>
      </c>
    </row>
    <row r="9" spans="1:19" ht="21.6">
      <c r="A9" s="6"/>
      <c r="B9" s="7"/>
      <c r="C9" s="8"/>
      <c r="D9" s="8"/>
      <c r="E9" s="9"/>
      <c r="F9" s="10"/>
      <c r="G9" s="124"/>
      <c r="H9" s="124"/>
      <c r="J9" s="11">
        <f t="shared" si="2"/>
        <v>0</v>
      </c>
      <c r="K9" s="11" t="s">
        <v>32</v>
      </c>
      <c r="L9" s="12">
        <f t="shared" si="0"/>
        <v>0</v>
      </c>
      <c r="M9" t="s">
        <v>21</v>
      </c>
      <c r="N9" s="12">
        <f t="shared" si="3"/>
        <v>0</v>
      </c>
      <c r="O9">
        <f t="shared" si="1"/>
        <v>0</v>
      </c>
      <c r="P9" t="s">
        <v>23</v>
      </c>
      <c r="Q9" s="20">
        <f t="shared" si="4"/>
        <v>0</v>
      </c>
      <c r="R9" t="s">
        <v>22</v>
      </c>
      <c r="S9" t="s">
        <v>24</v>
      </c>
    </row>
    <row r="11" spans="1:19" ht="21.6">
      <c r="A11" s="6"/>
      <c r="B11" s="7"/>
      <c r="C11" s="8"/>
      <c r="D11" s="8"/>
      <c r="E11" s="9"/>
      <c r="F11" s="10"/>
      <c r="G11" s="124"/>
      <c r="H11" s="124"/>
      <c r="J11" s="11">
        <f>A11</f>
        <v>0</v>
      </c>
      <c r="K11" s="11">
        <f>B11</f>
        <v>0</v>
      </c>
      <c r="L11" s="12">
        <f>C11</f>
        <v>0</v>
      </c>
      <c r="M11" t="s">
        <v>21</v>
      </c>
      <c r="N11" s="12">
        <f>D11</f>
        <v>0</v>
      </c>
      <c r="O11">
        <f>G11</f>
        <v>0</v>
      </c>
      <c r="P11" t="s">
        <v>23</v>
      </c>
      <c r="Q11" s="20">
        <f>E11</f>
        <v>0</v>
      </c>
      <c r="R11" t="s">
        <v>22</v>
      </c>
      <c r="S11" t="s">
        <v>24</v>
      </c>
    </row>
    <row r="12" spans="1:19" ht="21.6">
      <c r="A12" s="6"/>
      <c r="B12" s="7"/>
      <c r="C12" s="8"/>
      <c r="D12" s="8"/>
      <c r="E12" s="9"/>
      <c r="F12" s="10"/>
      <c r="G12" s="124"/>
      <c r="H12" s="124"/>
      <c r="J12" s="11">
        <f t="shared" ref="J12:J13" si="5">A12</f>
        <v>0</v>
      </c>
      <c r="K12" s="11">
        <f t="shared" ref="K12" si="6">B12</f>
        <v>0</v>
      </c>
      <c r="L12" s="12">
        <f>C12</f>
        <v>0</v>
      </c>
      <c r="M12" t="s">
        <v>21</v>
      </c>
      <c r="N12" s="12">
        <f>D12</f>
        <v>0</v>
      </c>
      <c r="O12">
        <f t="shared" ref="O12:O13" si="7">G12</f>
        <v>0</v>
      </c>
      <c r="P12" t="s">
        <v>23</v>
      </c>
      <c r="Q12" s="20">
        <f>E12</f>
        <v>0</v>
      </c>
      <c r="R12" t="s">
        <v>22</v>
      </c>
      <c r="S12" t="s">
        <v>24</v>
      </c>
    </row>
    <row r="13" spans="1:19" ht="21.6">
      <c r="A13" s="6"/>
      <c r="B13" s="7"/>
      <c r="C13" s="8"/>
      <c r="D13" s="8"/>
      <c r="E13" s="9"/>
      <c r="F13" s="10"/>
      <c r="G13" s="124"/>
      <c r="H13" s="124"/>
      <c r="J13" s="11">
        <f t="shared" si="5"/>
        <v>0</v>
      </c>
      <c r="K13" s="11"/>
      <c r="L13" s="12">
        <f t="shared" ref="L13" si="8">C13</f>
        <v>0</v>
      </c>
      <c r="M13" t="s">
        <v>21</v>
      </c>
      <c r="N13" s="12">
        <f t="shared" ref="N13" si="9">D13</f>
        <v>0</v>
      </c>
      <c r="O13">
        <f t="shared" si="7"/>
        <v>0</v>
      </c>
      <c r="P13" t="s">
        <v>23</v>
      </c>
      <c r="Q13" s="20">
        <f t="shared" ref="Q13" si="10">E13</f>
        <v>0</v>
      </c>
      <c r="R13" t="s">
        <v>22</v>
      </c>
      <c r="S13" t="s">
        <v>24</v>
      </c>
    </row>
  </sheetData>
  <mergeCells count="10">
    <mergeCell ref="G12:H12"/>
    <mergeCell ref="G13:H13"/>
    <mergeCell ref="G3:H3"/>
    <mergeCell ref="G5:H5"/>
    <mergeCell ref="G8:H8"/>
    <mergeCell ref="G9:H9"/>
    <mergeCell ref="G11:H11"/>
    <mergeCell ref="G4:H4"/>
    <mergeCell ref="G6:H6"/>
    <mergeCell ref="G7:H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508F-6E6F-438C-AA05-D2C91050508F}">
  <dimension ref="A3:S13"/>
  <sheetViews>
    <sheetView workbookViewId="0">
      <selection activeCell="J3" sqref="J3:S3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>
      <c r="A3" s="15">
        <v>45762</v>
      </c>
      <c r="B3" s="21" t="s">
        <v>87</v>
      </c>
      <c r="C3" s="13">
        <v>0.58333333333333337</v>
      </c>
      <c r="D3" s="14">
        <v>0.66666666666666674</v>
      </c>
      <c r="E3" s="18">
        <v>2</v>
      </c>
      <c r="F3" s="19">
        <v>3</v>
      </c>
      <c r="G3" s="138" t="s">
        <v>33</v>
      </c>
      <c r="H3" s="139"/>
      <c r="J3" s="11">
        <f t="shared" ref="J3:L9" si="0">A3</f>
        <v>45762</v>
      </c>
      <c r="K3" s="11" t="str">
        <f t="shared" si="0"/>
        <v>黃麗貞, 陳秀貞</v>
      </c>
      <c r="L3" s="12">
        <f>C3</f>
        <v>0.58333333333333337</v>
      </c>
      <c r="M3" t="s">
        <v>21</v>
      </c>
      <c r="N3" s="12">
        <f>D3</f>
        <v>0.66666666666666674</v>
      </c>
      <c r="O3" t="str">
        <f t="shared" ref="O3:O9" si="1">G3</f>
        <v>PS節日活動導督會議</v>
      </c>
      <c r="P3" t="s">
        <v>23</v>
      </c>
      <c r="Q3" s="20">
        <f>E3</f>
        <v>2</v>
      </c>
      <c r="R3" t="s">
        <v>22</v>
      </c>
      <c r="S3" t="s">
        <v>24</v>
      </c>
    </row>
    <row r="4" spans="1:19" ht="21.6">
      <c r="A4" s="6"/>
      <c r="B4" s="7"/>
      <c r="C4" s="8"/>
      <c r="D4" s="8"/>
      <c r="E4" s="9"/>
      <c r="F4" s="10"/>
      <c r="G4" s="124"/>
      <c r="H4" s="124"/>
      <c r="J4" s="11">
        <f t="shared" si="0"/>
        <v>0</v>
      </c>
      <c r="K4" s="11">
        <f t="shared" si="0"/>
        <v>0</v>
      </c>
      <c r="L4" s="12">
        <f>C4</f>
        <v>0</v>
      </c>
      <c r="M4" t="s">
        <v>21</v>
      </c>
      <c r="N4" s="12">
        <f>D4</f>
        <v>0</v>
      </c>
      <c r="O4">
        <f t="shared" si="1"/>
        <v>0</v>
      </c>
      <c r="P4" t="s">
        <v>23</v>
      </c>
      <c r="Q4" s="20">
        <f>E4</f>
        <v>0</v>
      </c>
      <c r="R4" t="s">
        <v>22</v>
      </c>
      <c r="S4" t="s">
        <v>24</v>
      </c>
    </row>
    <row r="5" spans="1:19" ht="21.6">
      <c r="A5" s="6"/>
      <c r="B5" s="7"/>
      <c r="C5" s="8"/>
      <c r="D5" s="8"/>
      <c r="E5" s="9"/>
      <c r="F5" s="10"/>
      <c r="G5" s="124"/>
      <c r="H5" s="124"/>
      <c r="J5" s="11">
        <f>A5</f>
        <v>0</v>
      </c>
      <c r="K5" s="11">
        <f t="shared" si="0"/>
        <v>0</v>
      </c>
      <c r="L5" s="12">
        <f>C5</f>
        <v>0</v>
      </c>
      <c r="M5" t="s">
        <v>21</v>
      </c>
      <c r="N5" s="12">
        <f>D5</f>
        <v>0</v>
      </c>
      <c r="O5">
        <f t="shared" si="1"/>
        <v>0</v>
      </c>
      <c r="P5" t="s">
        <v>23</v>
      </c>
      <c r="Q5" s="20">
        <f>E5</f>
        <v>0</v>
      </c>
      <c r="R5" t="s">
        <v>22</v>
      </c>
      <c r="S5" t="s">
        <v>24</v>
      </c>
    </row>
    <row r="6" spans="1:19" ht="21.6">
      <c r="A6" s="6"/>
      <c r="B6" s="7"/>
      <c r="C6" s="8"/>
      <c r="D6" s="8"/>
      <c r="E6" s="9"/>
      <c r="F6" s="10"/>
      <c r="G6" s="124"/>
      <c r="H6" s="124"/>
      <c r="J6" s="11">
        <f t="shared" ref="J6:J9" si="2">A6</f>
        <v>0</v>
      </c>
      <c r="K6" s="11">
        <f t="shared" si="0"/>
        <v>0</v>
      </c>
      <c r="L6" s="12">
        <f>C6</f>
        <v>0</v>
      </c>
      <c r="M6" t="s">
        <v>21</v>
      </c>
      <c r="N6" s="12">
        <f>D6</f>
        <v>0</v>
      </c>
      <c r="O6">
        <f t="shared" si="1"/>
        <v>0</v>
      </c>
      <c r="P6" t="s">
        <v>23</v>
      </c>
      <c r="Q6" s="20">
        <f>E6</f>
        <v>0</v>
      </c>
      <c r="R6" t="s">
        <v>22</v>
      </c>
      <c r="S6" t="s">
        <v>24</v>
      </c>
    </row>
    <row r="7" spans="1:19" ht="21.6">
      <c r="A7" s="6"/>
      <c r="B7" s="7"/>
      <c r="C7" s="8"/>
      <c r="D7" s="8"/>
      <c r="E7" s="9"/>
      <c r="F7" s="10"/>
      <c r="G7" s="124"/>
      <c r="H7" s="124"/>
      <c r="J7" s="11">
        <f t="shared" si="2"/>
        <v>0</v>
      </c>
      <c r="K7" s="11" t="s">
        <v>32</v>
      </c>
      <c r="L7" s="12">
        <f t="shared" si="0"/>
        <v>0</v>
      </c>
      <c r="M7" t="s">
        <v>21</v>
      </c>
      <c r="N7" s="12">
        <f t="shared" ref="N7:N9" si="3">D7</f>
        <v>0</v>
      </c>
      <c r="O7">
        <f t="shared" si="1"/>
        <v>0</v>
      </c>
      <c r="P7" t="s">
        <v>23</v>
      </c>
      <c r="Q7" s="20">
        <f t="shared" ref="Q7:Q9" si="4">E7</f>
        <v>0</v>
      </c>
      <c r="R7" t="s">
        <v>22</v>
      </c>
      <c r="S7" t="s">
        <v>24</v>
      </c>
    </row>
    <row r="8" spans="1:19" ht="21.6">
      <c r="A8" s="6"/>
      <c r="B8" s="7"/>
      <c r="C8" s="8"/>
      <c r="D8" s="8"/>
      <c r="E8" s="9"/>
      <c r="F8" s="10"/>
      <c r="G8" s="124"/>
      <c r="H8" s="124"/>
      <c r="J8" s="11">
        <f t="shared" si="2"/>
        <v>0</v>
      </c>
      <c r="K8" s="11" t="s">
        <v>32</v>
      </c>
      <c r="L8" s="12">
        <f t="shared" si="0"/>
        <v>0</v>
      </c>
      <c r="M8" t="s">
        <v>21</v>
      </c>
      <c r="N8" s="12">
        <f t="shared" si="3"/>
        <v>0</v>
      </c>
      <c r="O8">
        <f t="shared" si="1"/>
        <v>0</v>
      </c>
      <c r="P8" t="s">
        <v>23</v>
      </c>
      <c r="Q8" s="20">
        <f t="shared" si="4"/>
        <v>0</v>
      </c>
      <c r="R8" t="s">
        <v>22</v>
      </c>
      <c r="S8" t="s">
        <v>24</v>
      </c>
    </row>
    <row r="9" spans="1:19" ht="21.6">
      <c r="A9" s="6"/>
      <c r="B9" s="7"/>
      <c r="C9" s="8"/>
      <c r="D9" s="8"/>
      <c r="E9" s="9"/>
      <c r="F9" s="10"/>
      <c r="G9" s="124"/>
      <c r="H9" s="124"/>
      <c r="J9" s="11">
        <f t="shared" si="2"/>
        <v>0</v>
      </c>
      <c r="K9" s="11" t="s">
        <v>32</v>
      </c>
      <c r="L9" s="12">
        <f t="shared" si="0"/>
        <v>0</v>
      </c>
      <c r="M9" t="s">
        <v>21</v>
      </c>
      <c r="N9" s="12">
        <f t="shared" si="3"/>
        <v>0</v>
      </c>
      <c r="O9">
        <f t="shared" si="1"/>
        <v>0</v>
      </c>
      <c r="P9" t="s">
        <v>23</v>
      </c>
      <c r="Q9" s="20">
        <f t="shared" si="4"/>
        <v>0</v>
      </c>
      <c r="R9" t="s">
        <v>22</v>
      </c>
      <c r="S9" t="s">
        <v>24</v>
      </c>
    </row>
    <row r="11" spans="1:19" ht="21.6">
      <c r="A11" s="6"/>
      <c r="B11" s="7"/>
      <c r="C11" s="8"/>
      <c r="D11" s="8"/>
      <c r="E11" s="9"/>
      <c r="F11" s="10"/>
      <c r="G11" s="124"/>
      <c r="H11" s="124"/>
      <c r="J11" s="11">
        <f>A11</f>
        <v>0</v>
      </c>
      <c r="K11" s="11">
        <f>B11</f>
        <v>0</v>
      </c>
      <c r="L11" s="12">
        <f>C11</f>
        <v>0</v>
      </c>
      <c r="M11" t="s">
        <v>21</v>
      </c>
      <c r="N11" s="12">
        <f>D11</f>
        <v>0</v>
      </c>
      <c r="O11">
        <f>G11</f>
        <v>0</v>
      </c>
      <c r="P11" t="s">
        <v>23</v>
      </c>
      <c r="Q11" s="20">
        <f>E11</f>
        <v>0</v>
      </c>
      <c r="R11" t="s">
        <v>22</v>
      </c>
      <c r="S11" t="s">
        <v>24</v>
      </c>
    </row>
    <row r="12" spans="1:19" ht="21.6">
      <c r="A12" s="6"/>
      <c r="B12" s="7"/>
      <c r="C12" s="8"/>
      <c r="D12" s="8"/>
      <c r="E12" s="9"/>
      <c r="F12" s="10"/>
      <c r="G12" s="124"/>
      <c r="H12" s="124"/>
      <c r="J12" s="11">
        <f t="shared" ref="J12:K13" si="5">A12</f>
        <v>0</v>
      </c>
      <c r="K12" s="11">
        <f t="shared" si="5"/>
        <v>0</v>
      </c>
      <c r="L12" s="12">
        <f>C12</f>
        <v>0</v>
      </c>
      <c r="M12" t="s">
        <v>21</v>
      </c>
      <c r="N12" s="12">
        <f>D12</f>
        <v>0</v>
      </c>
      <c r="O12">
        <f t="shared" ref="O12:O13" si="6">G12</f>
        <v>0</v>
      </c>
      <c r="P12" t="s">
        <v>23</v>
      </c>
      <c r="Q12" s="20">
        <f>E12</f>
        <v>0</v>
      </c>
      <c r="R12" t="s">
        <v>22</v>
      </c>
      <c r="S12" t="s">
        <v>24</v>
      </c>
    </row>
    <row r="13" spans="1:19" ht="21.6">
      <c r="A13" s="6"/>
      <c r="B13" s="7"/>
      <c r="C13" s="8"/>
      <c r="D13" s="8"/>
      <c r="E13" s="9"/>
      <c r="F13" s="10"/>
      <c r="G13" s="124"/>
      <c r="H13" s="124"/>
      <c r="J13" s="11">
        <f t="shared" si="5"/>
        <v>0</v>
      </c>
      <c r="K13" s="11"/>
      <c r="L13" s="12">
        <f t="shared" ref="L13" si="7">C13</f>
        <v>0</v>
      </c>
      <c r="M13" t="s">
        <v>21</v>
      </c>
      <c r="N13" s="12">
        <f t="shared" ref="N13" si="8">D13</f>
        <v>0</v>
      </c>
      <c r="O13">
        <f t="shared" si="6"/>
        <v>0</v>
      </c>
      <c r="P13" t="s">
        <v>23</v>
      </c>
      <c r="Q13" s="20">
        <f t="shared" ref="Q13" si="9">E13</f>
        <v>0</v>
      </c>
      <c r="R13" t="s">
        <v>22</v>
      </c>
      <c r="S13" t="s">
        <v>24</v>
      </c>
    </row>
  </sheetData>
  <mergeCells count="10">
    <mergeCell ref="G9:H9"/>
    <mergeCell ref="G11:H11"/>
    <mergeCell ref="G12:H12"/>
    <mergeCell ref="G13:H13"/>
    <mergeCell ref="G3:H3"/>
    <mergeCell ref="G4:H4"/>
    <mergeCell ref="G5:H5"/>
    <mergeCell ref="G6:H6"/>
    <mergeCell ref="G7:H7"/>
    <mergeCell ref="G8:H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E884-7924-4021-A3CF-9D3ECCA47913}">
  <dimension ref="A3:S10"/>
  <sheetViews>
    <sheetView workbookViewId="0">
      <selection activeCell="G8" sqref="G8:H8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>
      <c r="A3" s="15">
        <v>45764</v>
      </c>
      <c r="B3" s="21" t="s">
        <v>14</v>
      </c>
      <c r="C3" s="13">
        <v>0.41666666666666669</v>
      </c>
      <c r="D3" s="14">
        <v>0.54166666666666663</v>
      </c>
      <c r="E3" s="18">
        <v>3</v>
      </c>
      <c r="F3" s="19">
        <v>6</v>
      </c>
      <c r="G3" s="138" t="s">
        <v>41</v>
      </c>
      <c r="H3" s="139"/>
      <c r="J3" s="11">
        <f t="shared" ref="J3:L6" si="0">A3</f>
        <v>45764</v>
      </c>
      <c r="K3" s="11" t="str">
        <f t="shared" si="0"/>
        <v>/</v>
      </c>
      <c r="L3" s="12">
        <f>C3</f>
        <v>0.41666666666666669</v>
      </c>
      <c r="M3" t="s">
        <v>21</v>
      </c>
      <c r="N3" s="12">
        <f>D3</f>
        <v>0.54166666666666663</v>
      </c>
      <c r="O3" t="str">
        <f t="shared" ref="O3:O6" si="1">G3</f>
        <v>PS 月會</v>
      </c>
      <c r="P3" t="s">
        <v>23</v>
      </c>
      <c r="Q3" s="20">
        <f>E3</f>
        <v>3</v>
      </c>
      <c r="R3" t="s">
        <v>22</v>
      </c>
      <c r="S3" t="s">
        <v>24</v>
      </c>
    </row>
    <row r="4" spans="1:19" ht="21.6">
      <c r="A4" s="15">
        <v>45763</v>
      </c>
      <c r="B4" s="21" t="s">
        <v>14</v>
      </c>
      <c r="C4" s="13">
        <v>0.4375</v>
      </c>
      <c r="D4" s="14">
        <v>0.52083333333333337</v>
      </c>
      <c r="E4" s="18">
        <v>2</v>
      </c>
      <c r="F4" s="19">
        <v>6</v>
      </c>
      <c r="G4" s="138" t="s">
        <v>43</v>
      </c>
      <c r="H4" s="139"/>
      <c r="J4" s="11">
        <f>A4</f>
        <v>45763</v>
      </c>
      <c r="K4" s="11" t="str">
        <f t="shared" si="0"/>
        <v>/</v>
      </c>
      <c r="L4" s="12">
        <f>C4</f>
        <v>0.4375</v>
      </c>
      <c r="M4" t="s">
        <v>21</v>
      </c>
      <c r="N4" s="12">
        <f>D4</f>
        <v>0.52083333333333337</v>
      </c>
      <c r="O4" t="str">
        <f t="shared" si="1"/>
        <v>PSG小組督導</v>
      </c>
      <c r="P4" t="s">
        <v>23</v>
      </c>
      <c r="Q4" s="20">
        <f>E4</f>
        <v>2</v>
      </c>
      <c r="R4" t="s">
        <v>22</v>
      </c>
      <c r="S4" t="s">
        <v>24</v>
      </c>
    </row>
    <row r="5" spans="1:19" ht="21.6">
      <c r="A5" s="15">
        <v>45762</v>
      </c>
      <c r="B5" s="21" t="s">
        <v>14</v>
      </c>
      <c r="C5" s="13">
        <v>0.58333333333333337</v>
      </c>
      <c r="D5" s="14">
        <v>0.66666666666666663</v>
      </c>
      <c r="E5" s="18">
        <v>2</v>
      </c>
      <c r="F5" s="19">
        <v>6</v>
      </c>
      <c r="G5" s="138" t="s">
        <v>44</v>
      </c>
      <c r="H5" s="139"/>
      <c r="J5" s="11">
        <f t="shared" ref="J5:J6" si="2">A5</f>
        <v>45762</v>
      </c>
      <c r="K5" s="11" t="s">
        <v>32</v>
      </c>
      <c r="L5" s="12">
        <f t="shared" si="0"/>
        <v>0.58333333333333337</v>
      </c>
      <c r="M5" t="s">
        <v>21</v>
      </c>
      <c r="N5" s="12">
        <f t="shared" ref="N5:N6" si="3">D5</f>
        <v>0.66666666666666663</v>
      </c>
      <c r="O5" t="str">
        <f t="shared" si="1"/>
        <v>PS 復活動活動</v>
      </c>
      <c r="P5" t="s">
        <v>23</v>
      </c>
      <c r="Q5" s="20">
        <f t="shared" ref="Q5:Q6" si="4">E5</f>
        <v>2</v>
      </c>
      <c r="R5" t="s">
        <v>22</v>
      </c>
      <c r="S5" t="s">
        <v>24</v>
      </c>
    </row>
    <row r="6" spans="1:19" ht="21.6">
      <c r="A6" s="15"/>
      <c r="B6" s="21"/>
      <c r="C6" s="13"/>
      <c r="D6" s="14"/>
      <c r="E6" s="18"/>
      <c r="F6" s="19"/>
      <c r="G6" s="138"/>
      <c r="H6" s="139"/>
      <c r="J6" s="11">
        <f t="shared" si="2"/>
        <v>0</v>
      </c>
      <c r="K6" s="11" t="s">
        <v>32</v>
      </c>
      <c r="L6" s="12">
        <f t="shared" si="0"/>
        <v>0</v>
      </c>
      <c r="M6" t="s">
        <v>21</v>
      </c>
      <c r="N6" s="12">
        <f t="shared" si="3"/>
        <v>0</v>
      </c>
      <c r="O6">
        <f t="shared" si="1"/>
        <v>0</v>
      </c>
      <c r="P6" t="s">
        <v>23</v>
      </c>
      <c r="Q6" s="20">
        <f t="shared" si="4"/>
        <v>0</v>
      </c>
      <c r="R6" t="s">
        <v>22</v>
      </c>
      <c r="S6" t="s">
        <v>24</v>
      </c>
    </row>
    <row r="7" spans="1:19" ht="21.6">
      <c r="A7" s="15"/>
      <c r="B7" s="21"/>
      <c r="C7" s="13"/>
      <c r="D7" s="14"/>
      <c r="E7" s="18"/>
      <c r="F7" s="19"/>
      <c r="G7" s="138"/>
      <c r="H7" s="139"/>
      <c r="J7" s="11">
        <f t="shared" ref="J7" si="5">A7</f>
        <v>0</v>
      </c>
      <c r="K7" s="11" t="s">
        <v>32</v>
      </c>
      <c r="L7" s="12">
        <f t="shared" ref="L7" si="6">C7</f>
        <v>0</v>
      </c>
      <c r="M7" t="s">
        <v>21</v>
      </c>
      <c r="N7" s="12">
        <f t="shared" ref="N7" si="7">D7</f>
        <v>0</v>
      </c>
      <c r="O7">
        <f t="shared" ref="O7" si="8">G7</f>
        <v>0</v>
      </c>
      <c r="P7" t="s">
        <v>23</v>
      </c>
      <c r="Q7" s="20">
        <f t="shared" ref="Q7" si="9">E7</f>
        <v>0</v>
      </c>
      <c r="R7" t="s">
        <v>22</v>
      </c>
      <c r="S7" t="s">
        <v>24</v>
      </c>
    </row>
    <row r="8" spans="1:19" ht="21.6">
      <c r="A8" s="6"/>
      <c r="B8" s="7"/>
      <c r="C8" s="8"/>
      <c r="D8" s="8"/>
      <c r="E8" s="9"/>
      <c r="F8" s="10"/>
      <c r="G8" s="124"/>
      <c r="H8" s="124"/>
      <c r="J8" s="11">
        <f t="shared" ref="J8:J9" si="10">A8</f>
        <v>0</v>
      </c>
      <c r="K8" s="11">
        <f t="shared" ref="K8" si="11">B8</f>
        <v>0</v>
      </c>
      <c r="L8" s="12">
        <f>C8</f>
        <v>0</v>
      </c>
      <c r="M8" t="s">
        <v>21</v>
      </c>
      <c r="N8" s="12">
        <f>D8</f>
        <v>0</v>
      </c>
      <c r="O8">
        <f t="shared" ref="O8:O9" si="12">G8</f>
        <v>0</v>
      </c>
      <c r="P8" t="s">
        <v>23</v>
      </c>
      <c r="Q8" s="20">
        <f>E8</f>
        <v>0</v>
      </c>
      <c r="R8" t="s">
        <v>22</v>
      </c>
      <c r="S8" t="s">
        <v>24</v>
      </c>
    </row>
    <row r="9" spans="1:19" ht="21.6">
      <c r="A9" s="6"/>
      <c r="B9" s="7"/>
      <c r="C9" s="8"/>
      <c r="D9" s="8"/>
      <c r="E9" s="9"/>
      <c r="F9" s="10"/>
      <c r="G9" s="124"/>
      <c r="H9" s="124"/>
      <c r="J9" s="11">
        <f t="shared" si="10"/>
        <v>0</v>
      </c>
      <c r="K9" s="11" t="s">
        <v>32</v>
      </c>
      <c r="L9" s="12">
        <f t="shared" ref="L9" si="13">C9</f>
        <v>0</v>
      </c>
      <c r="M9" t="s">
        <v>21</v>
      </c>
      <c r="N9" s="12">
        <f t="shared" ref="N9" si="14">D9</f>
        <v>0</v>
      </c>
      <c r="O9">
        <f t="shared" si="12"/>
        <v>0</v>
      </c>
      <c r="P9" t="s">
        <v>23</v>
      </c>
      <c r="Q9" s="20">
        <f t="shared" ref="Q9" si="15">E9</f>
        <v>0</v>
      </c>
      <c r="R9" t="s">
        <v>22</v>
      </c>
      <c r="S9" t="s">
        <v>24</v>
      </c>
    </row>
    <row r="10" spans="1:19" ht="21.6">
      <c r="A10" s="6"/>
      <c r="B10" s="7"/>
      <c r="C10" s="8"/>
      <c r="D10" s="8"/>
      <c r="E10" s="9"/>
      <c r="F10" s="10"/>
      <c r="G10" s="124"/>
      <c r="H10" s="124"/>
      <c r="J10" s="11">
        <f t="shared" ref="J10" si="16">A10</f>
        <v>0</v>
      </c>
      <c r="K10" s="11"/>
      <c r="L10" s="12">
        <f t="shared" ref="L10" si="17">C10</f>
        <v>0</v>
      </c>
      <c r="M10" t="s">
        <v>21</v>
      </c>
      <c r="N10" s="12">
        <f t="shared" ref="N10" si="18">D10</f>
        <v>0</v>
      </c>
      <c r="O10">
        <f t="shared" ref="O10" si="19">G10</f>
        <v>0</v>
      </c>
      <c r="P10" t="s">
        <v>23</v>
      </c>
      <c r="Q10" s="20">
        <f t="shared" ref="Q10" si="20">E10</f>
        <v>0</v>
      </c>
      <c r="R10" t="s">
        <v>22</v>
      </c>
      <c r="S10" t="s">
        <v>24</v>
      </c>
    </row>
  </sheetData>
  <mergeCells count="8">
    <mergeCell ref="G9:H9"/>
    <mergeCell ref="G10:H10"/>
    <mergeCell ref="G7:H7"/>
    <mergeCell ref="G3:H3"/>
    <mergeCell ref="G4:H4"/>
    <mergeCell ref="G5:H5"/>
    <mergeCell ref="G6:H6"/>
    <mergeCell ref="G8:H8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8C99-E5B3-4AFA-AFC7-CE496F1CCFD4}">
  <dimension ref="A3:S10"/>
  <sheetViews>
    <sheetView workbookViewId="0">
      <selection activeCell="G4" sqref="G4:H4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 customHeight="1">
      <c r="A3" s="15">
        <v>45762</v>
      </c>
      <c r="B3" s="22" t="s">
        <v>45</v>
      </c>
      <c r="C3" s="23">
        <v>0.58333333333333337</v>
      </c>
      <c r="D3" s="14">
        <v>0.66666666666666674</v>
      </c>
      <c r="E3" s="18">
        <v>2</v>
      </c>
      <c r="F3" s="19">
        <v>3</v>
      </c>
      <c r="G3" s="131" t="s">
        <v>46</v>
      </c>
      <c r="H3" s="132"/>
      <c r="J3" s="11">
        <f t="shared" ref="J3:K3" si="0">A3</f>
        <v>45762</v>
      </c>
      <c r="K3" s="11" t="str">
        <f t="shared" si="0"/>
        <v>陳彩娟</v>
      </c>
      <c r="L3" s="12">
        <f>C3</f>
        <v>0.58333333333333337</v>
      </c>
      <c r="M3" t="s">
        <v>21</v>
      </c>
      <c r="N3" s="12">
        <f>D3</f>
        <v>0.66666666666666674</v>
      </c>
      <c r="O3" t="str">
        <f t="shared" ref="O3" si="1">G3</f>
        <v>陪同及協助參與小組</v>
      </c>
      <c r="P3" t="s">
        <v>23</v>
      </c>
      <c r="Q3" s="20">
        <f>E3</f>
        <v>2</v>
      </c>
      <c r="R3" t="s">
        <v>22</v>
      </c>
      <c r="S3" t="s">
        <v>24</v>
      </c>
    </row>
    <row r="4" spans="1:19" ht="22.2" thickBot="1">
      <c r="A4" s="15">
        <v>45762</v>
      </c>
      <c r="B4" s="22" t="s">
        <v>34</v>
      </c>
      <c r="C4" s="23">
        <v>0.41666666666666669</v>
      </c>
      <c r="D4" s="14">
        <v>0.5</v>
      </c>
      <c r="E4" s="18">
        <v>2</v>
      </c>
      <c r="F4" s="19">
        <v>3</v>
      </c>
      <c r="G4" s="127" t="s">
        <v>40</v>
      </c>
      <c r="H4" s="128"/>
      <c r="J4" s="11">
        <f t="shared" ref="J4:J8" si="2">A4</f>
        <v>45762</v>
      </c>
      <c r="K4" s="11" t="str">
        <f t="shared" ref="K4:K8" si="3">B4</f>
        <v>唐德慶</v>
      </c>
      <c r="L4" s="12">
        <f t="shared" ref="L4:L8" si="4">C4</f>
        <v>0.41666666666666669</v>
      </c>
      <c r="M4" t="s">
        <v>21</v>
      </c>
      <c r="N4" s="12">
        <f t="shared" ref="N4:N8" si="5">D4</f>
        <v>0.5</v>
      </c>
      <c r="O4" t="str">
        <f t="shared" ref="O4:O8" si="6">G4</f>
        <v>協助安眠之旅小組</v>
      </c>
      <c r="P4" t="s">
        <v>23</v>
      </c>
      <c r="Q4" s="20">
        <f t="shared" ref="Q4:Q8" si="7">E4</f>
        <v>2</v>
      </c>
      <c r="R4" t="s">
        <v>22</v>
      </c>
      <c r="S4" t="s">
        <v>24</v>
      </c>
    </row>
    <row r="5" spans="1:19" ht="21.6">
      <c r="A5" s="15">
        <v>45760</v>
      </c>
      <c r="B5" s="21" t="s">
        <v>45</v>
      </c>
      <c r="C5" s="17">
        <v>0.91666666666666663</v>
      </c>
      <c r="D5" s="14">
        <v>0.9375</v>
      </c>
      <c r="E5" s="18">
        <v>0.5</v>
      </c>
      <c r="F5" s="19">
        <v>2</v>
      </c>
      <c r="G5" s="131" t="s">
        <v>42</v>
      </c>
      <c r="H5" s="132"/>
      <c r="J5" s="11">
        <f t="shared" si="2"/>
        <v>45760</v>
      </c>
      <c r="K5" s="11" t="str">
        <f t="shared" si="3"/>
        <v>陳彩娟</v>
      </c>
      <c r="L5" s="12">
        <f t="shared" si="4"/>
        <v>0.91666666666666663</v>
      </c>
      <c r="M5" t="s">
        <v>21</v>
      </c>
      <c r="N5" s="12">
        <f t="shared" si="5"/>
        <v>0.9375</v>
      </c>
      <c r="O5" t="str">
        <f t="shared" si="6"/>
        <v>電話聯絡/慰問</v>
      </c>
      <c r="P5" t="s">
        <v>23</v>
      </c>
      <c r="Q5" s="20">
        <f t="shared" si="7"/>
        <v>0.5</v>
      </c>
      <c r="R5" t="s">
        <v>22</v>
      </c>
      <c r="S5" t="s">
        <v>24</v>
      </c>
    </row>
    <row r="6" spans="1:19" ht="21.6">
      <c r="A6" s="15">
        <v>45758</v>
      </c>
      <c r="B6" s="21" t="s">
        <v>34</v>
      </c>
      <c r="C6" s="13">
        <v>0.75</v>
      </c>
      <c r="D6" s="14">
        <v>0.77083333333333337</v>
      </c>
      <c r="E6" s="18">
        <v>0.5</v>
      </c>
      <c r="F6" s="19">
        <v>2</v>
      </c>
      <c r="G6" s="131" t="s">
        <v>42</v>
      </c>
      <c r="H6" s="132"/>
      <c r="J6" s="11">
        <f t="shared" si="2"/>
        <v>45758</v>
      </c>
      <c r="K6" s="11" t="str">
        <f t="shared" si="3"/>
        <v>唐德慶</v>
      </c>
      <c r="L6" s="12">
        <f t="shared" si="4"/>
        <v>0.75</v>
      </c>
      <c r="M6" t="s">
        <v>21</v>
      </c>
      <c r="N6" s="12">
        <f t="shared" si="5"/>
        <v>0.77083333333333337</v>
      </c>
      <c r="O6" t="str">
        <f t="shared" si="6"/>
        <v>電話聯絡/慰問</v>
      </c>
      <c r="P6" t="s">
        <v>23</v>
      </c>
      <c r="Q6" s="20">
        <f t="shared" si="7"/>
        <v>0.5</v>
      </c>
      <c r="R6" t="s">
        <v>22</v>
      </c>
      <c r="S6" t="s">
        <v>24</v>
      </c>
    </row>
    <row r="7" spans="1:19" ht="21.6">
      <c r="A7" s="15">
        <v>45750</v>
      </c>
      <c r="B7" s="21" t="s">
        <v>45</v>
      </c>
      <c r="C7" s="13">
        <v>0.39583333333333331</v>
      </c>
      <c r="D7" s="14">
        <v>0.5</v>
      </c>
      <c r="E7" s="18">
        <v>2.5</v>
      </c>
      <c r="F7" s="19">
        <v>1</v>
      </c>
      <c r="G7" s="131" t="s">
        <v>47</v>
      </c>
      <c r="H7" s="132"/>
      <c r="J7" s="11">
        <f t="shared" si="2"/>
        <v>45750</v>
      </c>
      <c r="K7" s="11" t="str">
        <f t="shared" si="3"/>
        <v>陳彩娟</v>
      </c>
      <c r="L7" s="12">
        <f t="shared" si="4"/>
        <v>0.39583333333333331</v>
      </c>
      <c r="M7" t="s">
        <v>21</v>
      </c>
      <c r="N7" s="12">
        <f t="shared" si="5"/>
        <v>0.5</v>
      </c>
      <c r="O7" t="str">
        <f t="shared" si="6"/>
        <v>上門/外出接觸及探訪</v>
      </c>
      <c r="P7" t="s">
        <v>23</v>
      </c>
      <c r="Q7" s="20">
        <f t="shared" si="7"/>
        <v>2.5</v>
      </c>
      <c r="R7" t="s">
        <v>22</v>
      </c>
      <c r="S7" t="s">
        <v>24</v>
      </c>
    </row>
    <row r="8" spans="1:19" ht="22.2" thickBot="1">
      <c r="A8" s="24">
        <v>45748</v>
      </c>
      <c r="B8" s="21" t="s">
        <v>34</v>
      </c>
      <c r="C8" s="13">
        <v>0.375</v>
      </c>
      <c r="D8" s="14">
        <v>0.45833333333333331</v>
      </c>
      <c r="E8" s="18">
        <v>2</v>
      </c>
      <c r="F8" s="19">
        <v>3</v>
      </c>
      <c r="G8" s="127" t="s">
        <v>40</v>
      </c>
      <c r="H8" s="128"/>
      <c r="J8" s="11">
        <f t="shared" si="2"/>
        <v>45748</v>
      </c>
      <c r="K8" s="11" t="str">
        <f t="shared" si="3"/>
        <v>唐德慶</v>
      </c>
      <c r="L8" s="12">
        <f t="shared" si="4"/>
        <v>0.375</v>
      </c>
      <c r="M8" t="s">
        <v>21</v>
      </c>
      <c r="N8" s="12">
        <f t="shared" si="5"/>
        <v>0.45833333333333331</v>
      </c>
      <c r="O8" t="str">
        <f t="shared" si="6"/>
        <v>協助安眠之旅小組</v>
      </c>
      <c r="P8" t="s">
        <v>23</v>
      </c>
      <c r="Q8" s="20">
        <f t="shared" si="7"/>
        <v>2</v>
      </c>
      <c r="R8" t="s">
        <v>22</v>
      </c>
      <c r="S8" t="s">
        <v>24</v>
      </c>
    </row>
    <row r="9" spans="1:19" ht="21.6">
      <c r="A9" s="6"/>
      <c r="B9" s="7"/>
      <c r="C9" s="8"/>
      <c r="D9" s="8"/>
      <c r="E9" s="9"/>
      <c r="F9" s="10"/>
      <c r="G9" s="124"/>
      <c r="H9" s="124"/>
      <c r="J9" s="11">
        <f t="shared" ref="J9:J10" si="8">A9</f>
        <v>0</v>
      </c>
      <c r="K9" s="11" t="s">
        <v>32</v>
      </c>
      <c r="L9" s="12">
        <f t="shared" ref="L9:L10" si="9">C9</f>
        <v>0</v>
      </c>
      <c r="M9" t="s">
        <v>21</v>
      </c>
      <c r="N9" s="12">
        <f t="shared" ref="N9:N10" si="10">D9</f>
        <v>0</v>
      </c>
      <c r="O9">
        <f t="shared" ref="O9:O10" si="11">G9</f>
        <v>0</v>
      </c>
      <c r="P9" t="s">
        <v>23</v>
      </c>
      <c r="Q9" s="20">
        <f t="shared" ref="Q9:Q10" si="12">E9</f>
        <v>0</v>
      </c>
      <c r="R9" t="s">
        <v>22</v>
      </c>
      <c r="S9" t="s">
        <v>24</v>
      </c>
    </row>
    <row r="10" spans="1:19" ht="21.6">
      <c r="A10" s="6"/>
      <c r="B10" s="7"/>
      <c r="C10" s="8"/>
      <c r="D10" s="8"/>
      <c r="E10" s="9"/>
      <c r="F10" s="10"/>
      <c r="G10" s="124"/>
      <c r="H10" s="124"/>
      <c r="J10" s="11">
        <f t="shared" si="8"/>
        <v>0</v>
      </c>
      <c r="K10" s="11"/>
      <c r="L10" s="12">
        <f t="shared" si="9"/>
        <v>0</v>
      </c>
      <c r="M10" t="s">
        <v>21</v>
      </c>
      <c r="N10" s="12">
        <f t="shared" si="10"/>
        <v>0</v>
      </c>
      <c r="O10">
        <f t="shared" si="11"/>
        <v>0</v>
      </c>
      <c r="P10" t="s">
        <v>23</v>
      </c>
      <c r="Q10" s="20">
        <f t="shared" si="12"/>
        <v>0</v>
      </c>
      <c r="R10" t="s">
        <v>22</v>
      </c>
      <c r="S10" t="s">
        <v>24</v>
      </c>
    </row>
  </sheetData>
  <mergeCells count="8">
    <mergeCell ref="G10:H10"/>
    <mergeCell ref="G7:H7"/>
    <mergeCell ref="G3:H3"/>
    <mergeCell ref="G4:H4"/>
    <mergeCell ref="G5:H5"/>
    <mergeCell ref="G6:H6"/>
    <mergeCell ref="G8:H8"/>
    <mergeCell ref="G9:H9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1571-D506-418A-94C7-F6FB46BAD6DB}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6ABA-6DE9-415D-8FC7-2CBC7B561EA7}">
  <dimension ref="A3:S7"/>
  <sheetViews>
    <sheetView topLeftCell="C1" workbookViewId="0">
      <selection activeCell="G4" sqref="G4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>
      <c r="A3" s="51">
        <v>45827</v>
      </c>
      <c r="B3" s="13" t="s">
        <v>92</v>
      </c>
      <c r="C3" s="14">
        <v>0.39583333333333331</v>
      </c>
      <c r="D3" s="14">
        <v>0.52083333333333337</v>
      </c>
      <c r="E3" s="19">
        <v>3</v>
      </c>
      <c r="F3" s="52">
        <v>6</v>
      </c>
      <c r="G3" s="52"/>
      <c r="H3" s="53"/>
      <c r="J3" s="11">
        <f t="shared" ref="J3:L7" si="0">A3</f>
        <v>45827</v>
      </c>
      <c r="K3" s="11" t="str">
        <f t="shared" si="0"/>
        <v>/</v>
      </c>
      <c r="L3" s="12">
        <f>C3</f>
        <v>0.39583333333333331</v>
      </c>
      <c r="M3" t="s">
        <v>21</v>
      </c>
      <c r="N3" s="12">
        <f>D3</f>
        <v>0.52083333333333337</v>
      </c>
      <c r="O3" t="s">
        <v>29</v>
      </c>
      <c r="P3" t="s">
        <v>23</v>
      </c>
      <c r="Q3" s="20">
        <f>E3</f>
        <v>3</v>
      </c>
      <c r="R3" t="s">
        <v>22</v>
      </c>
      <c r="S3" t="s">
        <v>24</v>
      </c>
    </row>
    <row r="4" spans="1:19" ht="64.8">
      <c r="A4" s="51">
        <v>45832</v>
      </c>
      <c r="B4" s="13" t="s">
        <v>35</v>
      </c>
      <c r="C4" s="14">
        <v>0.6875</v>
      </c>
      <c r="D4" s="14">
        <v>0.70833333333333337</v>
      </c>
      <c r="E4" s="19">
        <v>0.5</v>
      </c>
      <c r="F4" s="52" t="s">
        <v>38</v>
      </c>
      <c r="G4" s="52" t="s">
        <v>107</v>
      </c>
      <c r="H4" s="53"/>
      <c r="J4" s="11">
        <f t="shared" ref="J4" si="1">A4</f>
        <v>45832</v>
      </c>
      <c r="K4" s="11" t="str">
        <f t="shared" si="0"/>
        <v>鍾群芳</v>
      </c>
      <c r="L4" s="12">
        <f t="shared" si="0"/>
        <v>0.6875</v>
      </c>
      <c r="M4" t="s">
        <v>21</v>
      </c>
      <c r="N4" s="12">
        <f t="shared" ref="N4" si="2">D4</f>
        <v>0.70833333333333337</v>
      </c>
      <c r="O4" t="str">
        <f t="shared" ref="O4" si="3">G4</f>
        <v>電話聯絡/慰問</v>
      </c>
      <c r="P4" t="s">
        <v>23</v>
      </c>
      <c r="Q4" s="20">
        <f t="shared" ref="Q4" si="4">E4</f>
        <v>0.5</v>
      </c>
      <c r="R4" t="s">
        <v>22</v>
      </c>
      <c r="S4" t="s">
        <v>24</v>
      </c>
    </row>
    <row r="5" spans="1:19" ht="64.8">
      <c r="A5" s="51">
        <v>45832</v>
      </c>
      <c r="B5" s="13" t="s">
        <v>91</v>
      </c>
      <c r="C5" s="14">
        <v>0.5625</v>
      </c>
      <c r="D5" s="14">
        <v>0.58333333333333337</v>
      </c>
      <c r="E5" s="19">
        <v>0.5</v>
      </c>
      <c r="F5" s="52" t="s">
        <v>38</v>
      </c>
      <c r="G5" s="52" t="s">
        <v>39</v>
      </c>
      <c r="H5" s="53"/>
      <c r="J5" s="11">
        <f t="shared" ref="J5:J7" si="5">A5</f>
        <v>45832</v>
      </c>
      <c r="K5" s="11" t="str">
        <f t="shared" si="0"/>
        <v>李寶儀</v>
      </c>
      <c r="L5" s="12">
        <f>C5</f>
        <v>0.5625</v>
      </c>
      <c r="M5" t="s">
        <v>21</v>
      </c>
      <c r="N5" s="12">
        <f>D5</f>
        <v>0.58333333333333337</v>
      </c>
      <c r="O5" t="str">
        <f t="shared" ref="O5:O7" si="6">G5</f>
        <v>電話聯絡/慰問</v>
      </c>
      <c r="P5" t="s">
        <v>23</v>
      </c>
      <c r="Q5" s="20">
        <f>E5</f>
        <v>0.5</v>
      </c>
      <c r="R5" t="s">
        <v>22</v>
      </c>
      <c r="S5" t="s">
        <v>24</v>
      </c>
    </row>
    <row r="6" spans="1:19" ht="64.8">
      <c r="A6" s="51">
        <v>45825</v>
      </c>
      <c r="B6" s="13" t="s">
        <v>36</v>
      </c>
      <c r="C6" s="14">
        <v>0.41666666666666669</v>
      </c>
      <c r="D6" s="14">
        <v>0.4375</v>
      </c>
      <c r="E6" s="19">
        <v>0.5</v>
      </c>
      <c r="F6" s="52">
        <v>2</v>
      </c>
      <c r="G6" s="52" t="s">
        <v>39</v>
      </c>
      <c r="H6" s="53"/>
      <c r="J6" s="11">
        <f>A6</f>
        <v>45825</v>
      </c>
      <c r="K6" s="11" t="str">
        <f t="shared" si="0"/>
        <v>鄭秋雲</v>
      </c>
      <c r="L6" s="12">
        <f>C6</f>
        <v>0.41666666666666669</v>
      </c>
      <c r="M6" t="s">
        <v>21</v>
      </c>
      <c r="N6" s="12">
        <f>D6</f>
        <v>0.4375</v>
      </c>
      <c r="O6" t="str">
        <f t="shared" si="6"/>
        <v>電話聯絡/慰問</v>
      </c>
      <c r="P6" t="s">
        <v>23</v>
      </c>
      <c r="Q6" s="20">
        <f>E6</f>
        <v>0.5</v>
      </c>
      <c r="R6" t="s">
        <v>22</v>
      </c>
      <c r="S6" t="s">
        <v>24</v>
      </c>
    </row>
    <row r="7" spans="1:19" ht="21.6">
      <c r="A7" s="15"/>
      <c r="B7" s="21"/>
      <c r="C7" s="13"/>
      <c r="D7" s="14"/>
      <c r="E7" s="18"/>
      <c r="F7" s="19"/>
      <c r="G7" s="52"/>
      <c r="H7" s="53"/>
      <c r="J7" s="11">
        <f t="shared" si="5"/>
        <v>0</v>
      </c>
      <c r="K7" s="11">
        <f t="shared" si="0"/>
        <v>0</v>
      </c>
      <c r="L7" s="12">
        <f t="shared" ref="L7" si="7">C7</f>
        <v>0</v>
      </c>
      <c r="M7" t="s">
        <v>21</v>
      </c>
      <c r="N7" s="12">
        <f t="shared" ref="N7" si="8">D7</f>
        <v>0</v>
      </c>
      <c r="O7">
        <f t="shared" si="6"/>
        <v>0</v>
      </c>
      <c r="P7" t="s">
        <v>23</v>
      </c>
      <c r="Q7" s="20">
        <f t="shared" ref="Q7" si="9">E7</f>
        <v>0</v>
      </c>
      <c r="R7" t="s">
        <v>22</v>
      </c>
      <c r="S7" t="s">
        <v>24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317F-FBF1-433B-A529-8336C32F0737}">
  <dimension ref="A3:S13"/>
  <sheetViews>
    <sheetView zoomScale="80" zoomScaleNormal="80" workbookViewId="0">
      <selection activeCell="J3" sqref="J3:S8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25.2187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21.6">
      <c r="A3" s="6">
        <v>45835</v>
      </c>
      <c r="B3" s="7" t="s">
        <v>121</v>
      </c>
      <c r="C3" s="8">
        <v>0.64583333333333337</v>
      </c>
      <c r="D3" s="8">
        <v>0.6875</v>
      </c>
      <c r="E3" s="9">
        <v>1</v>
      </c>
      <c r="F3" s="10">
        <v>1</v>
      </c>
      <c r="G3" s="131" t="s">
        <v>107</v>
      </c>
      <c r="H3" s="132"/>
      <c r="J3" s="11">
        <f t="shared" ref="J3:K7" si="0">A3</f>
        <v>45835</v>
      </c>
      <c r="K3" s="11" t="str">
        <f t="shared" si="0"/>
        <v>方秀蘭</v>
      </c>
      <c r="L3" s="12">
        <f>C3</f>
        <v>0.64583333333333337</v>
      </c>
      <c r="M3" t="s">
        <v>21</v>
      </c>
      <c r="N3" s="12">
        <f>D3</f>
        <v>0.6875</v>
      </c>
      <c r="O3" t="str">
        <f>G3</f>
        <v>電話聯絡/慰問</v>
      </c>
      <c r="P3" t="s">
        <v>23</v>
      </c>
      <c r="Q3" s="20">
        <f>E3</f>
        <v>1</v>
      </c>
      <c r="R3" t="s">
        <v>22</v>
      </c>
      <c r="S3" t="s">
        <v>24</v>
      </c>
    </row>
    <row r="4" spans="1:19" ht="21.6">
      <c r="A4" s="6">
        <v>45834</v>
      </c>
      <c r="B4" s="7" t="s">
        <v>37</v>
      </c>
      <c r="C4" s="8">
        <v>0.47916666666666669</v>
      </c>
      <c r="D4" s="8">
        <v>0.52083333333333337</v>
      </c>
      <c r="E4" s="9">
        <v>1</v>
      </c>
      <c r="F4" s="10" t="s">
        <v>38</v>
      </c>
      <c r="G4" s="138" t="s">
        <v>109</v>
      </c>
      <c r="H4" s="139"/>
      <c r="J4" s="11">
        <f t="shared" ref="J4:J6" si="1">A4</f>
        <v>45834</v>
      </c>
      <c r="K4" s="11" t="str">
        <f t="shared" ref="K4:K6" si="2">B4</f>
        <v>何惠儀</v>
      </c>
      <c r="L4" s="12">
        <f t="shared" ref="L4:L6" si="3">C4</f>
        <v>0.47916666666666669</v>
      </c>
      <c r="M4" t="s">
        <v>21</v>
      </c>
      <c r="N4" s="12">
        <f t="shared" ref="N4:N6" si="4">D4</f>
        <v>0.52083333333333337</v>
      </c>
      <c r="O4" t="str">
        <f t="shared" ref="O4:O6" si="5">G4</f>
        <v>上門/外出接觸及探訪</v>
      </c>
      <c r="P4" t="s">
        <v>23</v>
      </c>
      <c r="Q4" s="20">
        <f t="shared" ref="Q4:Q6" si="6">E4</f>
        <v>1</v>
      </c>
      <c r="R4" t="s">
        <v>22</v>
      </c>
      <c r="S4" t="s">
        <v>24</v>
      </c>
    </row>
    <row r="5" spans="1:19" ht="22.2" thickBot="1">
      <c r="A5" s="6">
        <v>45833</v>
      </c>
      <c r="B5" s="7" t="s">
        <v>108</v>
      </c>
      <c r="C5" s="8">
        <v>0.39583333333333331</v>
      </c>
      <c r="D5" s="8">
        <v>0.47916666666666663</v>
      </c>
      <c r="E5" s="9">
        <v>2</v>
      </c>
      <c r="F5" s="10">
        <v>1</v>
      </c>
      <c r="G5" s="127" t="s">
        <v>109</v>
      </c>
      <c r="H5" s="128"/>
      <c r="J5" s="11">
        <f t="shared" si="1"/>
        <v>45833</v>
      </c>
      <c r="K5" s="11" t="str">
        <f t="shared" si="2"/>
        <v>霍琪珠</v>
      </c>
      <c r="L5" s="12">
        <f t="shared" si="3"/>
        <v>0.39583333333333331</v>
      </c>
      <c r="M5" t="s">
        <v>21</v>
      </c>
      <c r="N5" s="12">
        <f t="shared" si="4"/>
        <v>0.47916666666666663</v>
      </c>
      <c r="O5" t="str">
        <f t="shared" si="5"/>
        <v>上門/外出接觸及探訪</v>
      </c>
      <c r="P5" t="s">
        <v>23</v>
      </c>
      <c r="Q5" s="20">
        <f t="shared" si="6"/>
        <v>2</v>
      </c>
      <c r="R5" t="s">
        <v>22</v>
      </c>
      <c r="S5" t="s">
        <v>24</v>
      </c>
    </row>
    <row r="6" spans="1:19" ht="21.6">
      <c r="A6" s="6">
        <v>45832</v>
      </c>
      <c r="B6" s="7" t="s">
        <v>37</v>
      </c>
      <c r="C6" s="8">
        <v>0.67708333333333337</v>
      </c>
      <c r="D6" s="8">
        <v>0.71875</v>
      </c>
      <c r="E6" s="9">
        <v>1</v>
      </c>
      <c r="F6" s="10">
        <v>1</v>
      </c>
      <c r="G6" s="138" t="s">
        <v>107</v>
      </c>
      <c r="H6" s="139"/>
      <c r="J6" s="11">
        <f t="shared" si="1"/>
        <v>45832</v>
      </c>
      <c r="K6" s="11" t="str">
        <f t="shared" si="2"/>
        <v>何惠儀</v>
      </c>
      <c r="L6" s="12">
        <f t="shared" si="3"/>
        <v>0.67708333333333337</v>
      </c>
      <c r="M6" t="s">
        <v>21</v>
      </c>
      <c r="N6" s="12">
        <f t="shared" si="4"/>
        <v>0.71875</v>
      </c>
      <c r="O6" t="str">
        <f t="shared" si="5"/>
        <v>電話聯絡/慰問</v>
      </c>
      <c r="P6" t="s">
        <v>23</v>
      </c>
      <c r="Q6" s="20">
        <f t="shared" si="6"/>
        <v>1</v>
      </c>
      <c r="R6" t="s">
        <v>22</v>
      </c>
      <c r="S6" t="s">
        <v>24</v>
      </c>
    </row>
    <row r="7" spans="1:19" ht="21.6" customHeight="1">
      <c r="A7" s="6">
        <v>45820</v>
      </c>
      <c r="B7" s="7" t="s">
        <v>108</v>
      </c>
      <c r="C7" s="8">
        <v>0.89583333333333337</v>
      </c>
      <c r="D7" s="8">
        <v>0.91666666666666674</v>
      </c>
      <c r="E7" s="9">
        <v>0.5</v>
      </c>
      <c r="F7" s="10">
        <v>2</v>
      </c>
      <c r="G7" s="131" t="s">
        <v>107</v>
      </c>
      <c r="H7" s="132"/>
      <c r="J7" s="11">
        <f t="shared" si="0"/>
        <v>45820</v>
      </c>
      <c r="K7" s="11" t="str">
        <f>B7</f>
        <v>霍琪珠</v>
      </c>
      <c r="L7" s="12">
        <f t="shared" ref="L7" si="7">C7</f>
        <v>0.89583333333333337</v>
      </c>
      <c r="M7" t="s">
        <v>21</v>
      </c>
      <c r="N7" s="12">
        <f t="shared" ref="N7" si="8">D7</f>
        <v>0.91666666666666674</v>
      </c>
      <c r="O7" t="str">
        <f t="shared" ref="O7" si="9">G7</f>
        <v>電話聯絡/慰問</v>
      </c>
      <c r="P7" t="s">
        <v>23</v>
      </c>
      <c r="Q7" s="20">
        <f t="shared" ref="Q7" si="10">E7</f>
        <v>0.5</v>
      </c>
      <c r="R7" t="s">
        <v>22</v>
      </c>
      <c r="S7" t="s">
        <v>24</v>
      </c>
    </row>
    <row r="8" spans="1:19" ht="21.6">
      <c r="A8" s="6">
        <v>45815</v>
      </c>
      <c r="B8" s="7" t="s">
        <v>37</v>
      </c>
      <c r="C8" s="8">
        <v>0.45833333333333331</v>
      </c>
      <c r="D8" s="8">
        <v>0.47916666666666663</v>
      </c>
      <c r="E8" s="9">
        <v>0.5</v>
      </c>
      <c r="F8" s="10">
        <v>2</v>
      </c>
      <c r="G8" s="131" t="s">
        <v>107</v>
      </c>
      <c r="H8" s="132"/>
      <c r="J8" s="11">
        <f t="shared" ref="J8:J11" si="11">A8</f>
        <v>45815</v>
      </c>
      <c r="K8" s="11" t="str">
        <f t="shared" ref="K8:K11" si="12">B8</f>
        <v>何惠儀</v>
      </c>
      <c r="L8" s="12">
        <f t="shared" ref="L8:L10" si="13">C8</f>
        <v>0.45833333333333331</v>
      </c>
      <c r="M8" t="s">
        <v>21</v>
      </c>
      <c r="N8" s="12">
        <f t="shared" ref="N8:N10" si="14">D8</f>
        <v>0.47916666666666663</v>
      </c>
      <c r="O8" t="str">
        <f t="shared" ref="O8:O10" si="15">G8</f>
        <v>電話聯絡/慰問</v>
      </c>
      <c r="P8" t="s">
        <v>23</v>
      </c>
      <c r="Q8" s="20">
        <f t="shared" ref="Q8:Q10" si="16">E8</f>
        <v>0.5</v>
      </c>
      <c r="R8" t="s">
        <v>22</v>
      </c>
      <c r="S8" t="s">
        <v>24</v>
      </c>
    </row>
    <row r="9" spans="1:19" ht="22.2" thickBot="1">
      <c r="A9" s="15"/>
      <c r="B9" s="21"/>
      <c r="C9" s="13"/>
      <c r="D9" s="14"/>
      <c r="E9" s="18"/>
      <c r="F9" s="19"/>
      <c r="G9" s="127"/>
      <c r="H9" s="128"/>
      <c r="J9" s="11">
        <f t="shared" si="11"/>
        <v>0</v>
      </c>
      <c r="K9" s="11">
        <f t="shared" si="12"/>
        <v>0</v>
      </c>
      <c r="L9" s="12">
        <f t="shared" si="13"/>
        <v>0</v>
      </c>
      <c r="M9" t="s">
        <v>21</v>
      </c>
      <c r="N9" s="12">
        <f t="shared" si="14"/>
        <v>0</v>
      </c>
      <c r="O9">
        <f t="shared" si="15"/>
        <v>0</v>
      </c>
      <c r="P9" t="s">
        <v>23</v>
      </c>
      <c r="Q9" s="20">
        <f t="shared" si="16"/>
        <v>0</v>
      </c>
      <c r="R9" t="s">
        <v>22</v>
      </c>
      <c r="S9" t="s">
        <v>24</v>
      </c>
    </row>
    <row r="10" spans="1:19" ht="22.2" thickBot="1">
      <c r="A10" s="15"/>
      <c r="B10" s="21"/>
      <c r="C10" s="13"/>
      <c r="D10" s="14"/>
      <c r="E10" s="18"/>
      <c r="F10" s="19"/>
      <c r="G10" s="127"/>
      <c r="H10" s="128"/>
      <c r="J10" s="11">
        <f t="shared" si="11"/>
        <v>0</v>
      </c>
      <c r="K10" s="11">
        <f t="shared" si="12"/>
        <v>0</v>
      </c>
      <c r="L10" s="12">
        <f t="shared" si="13"/>
        <v>0</v>
      </c>
      <c r="M10" t="s">
        <v>21</v>
      </c>
      <c r="N10" s="12">
        <f t="shared" si="14"/>
        <v>0</v>
      </c>
      <c r="O10">
        <f t="shared" si="15"/>
        <v>0</v>
      </c>
      <c r="P10" t="s">
        <v>23</v>
      </c>
      <c r="Q10" s="20">
        <f t="shared" si="16"/>
        <v>0</v>
      </c>
      <c r="R10" t="s">
        <v>22</v>
      </c>
      <c r="S10" t="s">
        <v>24</v>
      </c>
    </row>
    <row r="11" spans="1:19" ht="21.6">
      <c r="A11" s="15"/>
      <c r="B11" s="21"/>
      <c r="C11" s="13"/>
      <c r="D11" s="14"/>
      <c r="E11" s="18"/>
      <c r="F11" s="19"/>
      <c r="G11" s="131"/>
      <c r="H11" s="132"/>
      <c r="J11" s="11">
        <f t="shared" si="11"/>
        <v>0</v>
      </c>
      <c r="K11" s="11">
        <f t="shared" si="12"/>
        <v>0</v>
      </c>
      <c r="L11" s="12">
        <f>C11</f>
        <v>0</v>
      </c>
      <c r="M11" t="s">
        <v>21</v>
      </c>
      <c r="N11" s="12">
        <f>D11</f>
        <v>0</v>
      </c>
      <c r="O11">
        <f>G11</f>
        <v>0</v>
      </c>
      <c r="P11" t="s">
        <v>23</v>
      </c>
      <c r="Q11" s="20">
        <f>E11</f>
        <v>0</v>
      </c>
      <c r="R11" t="s">
        <v>22</v>
      </c>
      <c r="S11" t="s">
        <v>24</v>
      </c>
    </row>
    <row r="12" spans="1:19" ht="21.6">
      <c r="A12" s="15"/>
      <c r="B12" s="21"/>
      <c r="C12" s="13"/>
      <c r="D12" s="14"/>
      <c r="E12" s="18"/>
      <c r="F12" s="19"/>
      <c r="G12" s="131"/>
      <c r="H12" s="132"/>
      <c r="J12" s="11">
        <f t="shared" ref="J12" si="17">A12</f>
        <v>0</v>
      </c>
      <c r="K12" s="11">
        <f t="shared" ref="K12" si="18">B12</f>
        <v>0</v>
      </c>
      <c r="L12" s="12">
        <f t="shared" ref="L12" si="19">C12</f>
        <v>0</v>
      </c>
      <c r="M12" t="s">
        <v>21</v>
      </c>
      <c r="N12" s="12">
        <f t="shared" ref="N12" si="20">D12</f>
        <v>0</v>
      </c>
      <c r="O12">
        <f t="shared" ref="O12" si="21">G12</f>
        <v>0</v>
      </c>
      <c r="P12" t="s">
        <v>23</v>
      </c>
      <c r="Q12" s="20">
        <f t="shared" ref="Q12" si="22">E12</f>
        <v>0</v>
      </c>
      <c r="R12" t="s">
        <v>22</v>
      </c>
      <c r="S12" t="s">
        <v>24</v>
      </c>
    </row>
    <row r="13" spans="1:19" ht="22.2" thickBot="1">
      <c r="A13" s="24"/>
      <c r="B13" s="21"/>
      <c r="C13" s="13"/>
      <c r="D13" s="14"/>
      <c r="E13" s="18"/>
      <c r="F13" s="19"/>
      <c r="G13" s="127"/>
      <c r="H13" s="128"/>
      <c r="J13" s="11">
        <f t="shared" ref="J13" si="23">A13</f>
        <v>0</v>
      </c>
      <c r="K13" s="11">
        <f t="shared" ref="K13" si="24">B13</f>
        <v>0</v>
      </c>
      <c r="L13" s="12">
        <f t="shared" ref="L13" si="25">C13</f>
        <v>0</v>
      </c>
      <c r="M13" t="s">
        <v>21</v>
      </c>
      <c r="N13" s="12">
        <f t="shared" ref="N13" si="26">D13</f>
        <v>0</v>
      </c>
      <c r="O13">
        <f t="shared" ref="O13" si="27">G13</f>
        <v>0</v>
      </c>
      <c r="P13" t="s">
        <v>23</v>
      </c>
      <c r="Q13" s="20">
        <f t="shared" ref="Q13" si="28">E13</f>
        <v>0</v>
      </c>
      <c r="R13" t="s">
        <v>22</v>
      </c>
      <c r="S13" t="s">
        <v>24</v>
      </c>
    </row>
  </sheetData>
  <mergeCells count="11">
    <mergeCell ref="G13:H13"/>
    <mergeCell ref="G3:H3"/>
    <mergeCell ref="G12:H12"/>
    <mergeCell ref="G4:H4"/>
    <mergeCell ref="G5:H5"/>
    <mergeCell ref="G6:H6"/>
    <mergeCell ref="G7:H7"/>
    <mergeCell ref="G11:H11"/>
    <mergeCell ref="G8:H8"/>
    <mergeCell ref="G9:H9"/>
    <mergeCell ref="G10:H10"/>
  </mergeCells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4F81-060A-4034-BDC0-5B392B614708}">
  <dimension ref="A3:S12"/>
  <sheetViews>
    <sheetView topLeftCell="A4" workbookViewId="0">
      <selection activeCell="Q3" sqref="Q3:Q6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38.25" customHeight="1">
      <c r="A3" s="6">
        <v>45803</v>
      </c>
      <c r="B3" s="7" t="s">
        <v>14</v>
      </c>
      <c r="C3" s="8">
        <v>0.47916666666666669</v>
      </c>
      <c r="D3" s="8">
        <v>0.60416666666666663</v>
      </c>
      <c r="E3" s="9">
        <v>3</v>
      </c>
      <c r="F3" s="10">
        <v>6</v>
      </c>
      <c r="G3" s="124" t="s">
        <v>15</v>
      </c>
      <c r="H3" s="124"/>
      <c r="J3" s="11">
        <f t="shared" ref="J3:L8" si="0">A3</f>
        <v>45803</v>
      </c>
      <c r="K3" s="11" t="str">
        <f t="shared" si="0"/>
        <v>/</v>
      </c>
      <c r="L3" s="12">
        <f>C3</f>
        <v>0.47916666666666669</v>
      </c>
      <c r="M3" t="s">
        <v>21</v>
      </c>
      <c r="N3" s="12">
        <f>D3</f>
        <v>0.60416666666666663</v>
      </c>
      <c r="O3" t="str">
        <f>G3</f>
        <v>第三節PSG小組準備</v>
      </c>
      <c r="P3" t="s">
        <v>23</v>
      </c>
      <c r="Q3" s="20">
        <f>E3</f>
        <v>3</v>
      </c>
      <c r="R3" t="s">
        <v>22</v>
      </c>
      <c r="S3" t="s">
        <v>24</v>
      </c>
    </row>
    <row r="4" spans="1:19" ht="38.25" customHeight="1">
      <c r="A4" s="6">
        <v>45797</v>
      </c>
      <c r="B4" s="7" t="s">
        <v>14</v>
      </c>
      <c r="C4" s="8">
        <v>0.60416666666666663</v>
      </c>
      <c r="D4" s="8">
        <v>0.6875</v>
      </c>
      <c r="E4" s="9">
        <v>2</v>
      </c>
      <c r="F4" s="10">
        <v>6</v>
      </c>
      <c r="G4" s="124" t="s">
        <v>16</v>
      </c>
      <c r="H4" s="124"/>
      <c r="J4" s="11">
        <f t="shared" si="0"/>
        <v>45797</v>
      </c>
      <c r="K4" s="11" t="str">
        <f t="shared" si="0"/>
        <v>/</v>
      </c>
      <c r="L4" s="12">
        <f t="shared" si="0"/>
        <v>0.60416666666666663</v>
      </c>
      <c r="M4" t="s">
        <v>21</v>
      </c>
      <c r="N4" s="12">
        <f t="shared" ref="N4:N8" si="1">D4</f>
        <v>0.6875</v>
      </c>
      <c r="O4" t="str">
        <f t="shared" ref="O4:O8" si="2">G4</f>
        <v>第二節PSG小組</v>
      </c>
      <c r="P4" t="s">
        <v>23</v>
      </c>
      <c r="Q4" s="20">
        <f t="shared" ref="Q4:Q8" si="3">E4</f>
        <v>2</v>
      </c>
      <c r="R4" t="s">
        <v>22</v>
      </c>
      <c r="S4" t="s">
        <v>24</v>
      </c>
    </row>
    <row r="5" spans="1:19" ht="38.25" customHeight="1">
      <c r="A5" s="6">
        <v>45797</v>
      </c>
      <c r="B5" s="7" t="s">
        <v>14</v>
      </c>
      <c r="C5" s="8">
        <v>0.47916666666666669</v>
      </c>
      <c r="D5" s="8">
        <v>0.60416666666666663</v>
      </c>
      <c r="E5" s="9">
        <v>3</v>
      </c>
      <c r="F5" s="10">
        <v>6</v>
      </c>
      <c r="G5" s="124" t="s">
        <v>17</v>
      </c>
      <c r="H5" s="124"/>
      <c r="J5" s="11">
        <f t="shared" si="0"/>
        <v>45797</v>
      </c>
      <c r="K5" s="11" t="str">
        <f t="shared" si="0"/>
        <v>/</v>
      </c>
      <c r="L5" s="12">
        <f t="shared" si="0"/>
        <v>0.47916666666666669</v>
      </c>
      <c r="M5" t="s">
        <v>21</v>
      </c>
      <c r="N5" s="12">
        <f t="shared" si="1"/>
        <v>0.60416666666666663</v>
      </c>
      <c r="O5" t="str">
        <f t="shared" si="2"/>
        <v>第二節PSG小組準備</v>
      </c>
      <c r="P5" t="s">
        <v>23</v>
      </c>
      <c r="Q5" s="20">
        <f t="shared" si="3"/>
        <v>3</v>
      </c>
      <c r="R5" t="s">
        <v>22</v>
      </c>
      <c r="S5" t="s">
        <v>24</v>
      </c>
    </row>
    <row r="6" spans="1:19" ht="38.25" customHeight="1">
      <c r="A6" s="6">
        <v>45790</v>
      </c>
      <c r="B6" s="7" t="s">
        <v>14</v>
      </c>
      <c r="C6" s="8">
        <v>0.60416666666666663</v>
      </c>
      <c r="D6" s="8">
        <v>0.6875</v>
      </c>
      <c r="E6" s="9">
        <v>2</v>
      </c>
      <c r="F6" s="10">
        <v>6</v>
      </c>
      <c r="G6" s="124" t="s">
        <v>18</v>
      </c>
      <c r="H6" s="124"/>
      <c r="J6" s="11">
        <f t="shared" si="0"/>
        <v>45790</v>
      </c>
      <c r="K6" s="11" t="str">
        <f t="shared" si="0"/>
        <v>/</v>
      </c>
      <c r="L6" s="12">
        <f t="shared" si="0"/>
        <v>0.60416666666666663</v>
      </c>
      <c r="M6" t="s">
        <v>21</v>
      </c>
      <c r="N6" s="12">
        <f t="shared" si="1"/>
        <v>0.6875</v>
      </c>
      <c r="O6" t="str">
        <f t="shared" si="2"/>
        <v>第一節PSG小組</v>
      </c>
      <c r="P6" t="s">
        <v>23</v>
      </c>
      <c r="Q6" s="20">
        <f t="shared" si="3"/>
        <v>2</v>
      </c>
      <c r="R6" t="s">
        <v>22</v>
      </c>
      <c r="S6" t="s">
        <v>24</v>
      </c>
    </row>
    <row r="7" spans="1:19" ht="46.2" customHeight="1">
      <c r="A7" s="6">
        <v>45790</v>
      </c>
      <c r="B7" s="7" t="s">
        <v>14</v>
      </c>
      <c r="C7" s="8">
        <v>0.39583333333333331</v>
      </c>
      <c r="D7" s="8">
        <v>0.60416666666666663</v>
      </c>
      <c r="E7" s="9">
        <v>5</v>
      </c>
      <c r="F7" s="10">
        <v>6</v>
      </c>
      <c r="G7" s="124" t="s">
        <v>19</v>
      </c>
      <c r="H7" s="124"/>
      <c r="J7" s="11">
        <f t="shared" si="0"/>
        <v>45790</v>
      </c>
      <c r="K7" s="11" t="str">
        <f t="shared" si="0"/>
        <v>/</v>
      </c>
      <c r="L7" s="12">
        <f t="shared" si="0"/>
        <v>0.39583333333333331</v>
      </c>
      <c r="M7" t="s">
        <v>21</v>
      </c>
      <c r="N7" s="12">
        <f t="shared" si="1"/>
        <v>0.60416666666666663</v>
      </c>
      <c r="O7" t="str">
        <f t="shared" si="2"/>
        <v>第一節PSG小組準備</v>
      </c>
      <c r="P7" t="s">
        <v>23</v>
      </c>
      <c r="Q7" s="20">
        <f t="shared" si="3"/>
        <v>5</v>
      </c>
      <c r="R7" t="s">
        <v>22</v>
      </c>
      <c r="S7" t="s">
        <v>24</v>
      </c>
    </row>
    <row r="8" spans="1:19" ht="38.25" customHeight="1">
      <c r="A8" s="6">
        <v>45789</v>
      </c>
      <c r="B8" s="7" t="s">
        <v>14</v>
      </c>
      <c r="C8" s="8">
        <v>0.45833333333333331</v>
      </c>
      <c r="D8" s="8">
        <v>0.5</v>
      </c>
      <c r="E8" s="9">
        <v>1</v>
      </c>
      <c r="F8" s="10">
        <v>6</v>
      </c>
      <c r="G8" s="124" t="s">
        <v>20</v>
      </c>
      <c r="H8" s="124"/>
      <c r="J8" s="11">
        <f t="shared" si="0"/>
        <v>45789</v>
      </c>
      <c r="K8" s="11" t="str">
        <f t="shared" si="0"/>
        <v>/</v>
      </c>
      <c r="L8" s="12">
        <f t="shared" si="0"/>
        <v>0.45833333333333331</v>
      </c>
      <c r="M8" t="s">
        <v>21</v>
      </c>
      <c r="N8" s="12">
        <f t="shared" si="1"/>
        <v>0.5</v>
      </c>
      <c r="O8" t="str">
        <f t="shared" si="2"/>
        <v>協助填寫PSG 網上問卷</v>
      </c>
      <c r="P8" t="s">
        <v>23</v>
      </c>
      <c r="Q8" s="20">
        <f t="shared" si="3"/>
        <v>1</v>
      </c>
      <c r="R8" t="s">
        <v>22</v>
      </c>
      <c r="S8" t="s">
        <v>24</v>
      </c>
    </row>
    <row r="10" spans="1:19" ht="38.25" customHeight="1">
      <c r="A10" s="6">
        <v>45797</v>
      </c>
      <c r="B10" s="7" t="s">
        <v>14</v>
      </c>
      <c r="C10" s="8">
        <v>0.6875</v>
      </c>
      <c r="D10" s="8">
        <v>0.72916666666666663</v>
      </c>
      <c r="E10" s="9">
        <v>1</v>
      </c>
      <c r="F10" s="10">
        <v>6</v>
      </c>
      <c r="G10" s="124" t="s">
        <v>25</v>
      </c>
      <c r="H10" s="124"/>
      <c r="J10" s="11">
        <f t="shared" ref="J10:J12" si="4">A10</f>
        <v>45797</v>
      </c>
      <c r="K10" s="11" t="str">
        <f t="shared" ref="K10:K11" si="5">B10</f>
        <v>/</v>
      </c>
      <c r="L10" s="12">
        <f t="shared" ref="L10:L12" si="6">C10</f>
        <v>0.6875</v>
      </c>
      <c r="M10" t="s">
        <v>21</v>
      </c>
      <c r="N10" s="12">
        <f t="shared" ref="N10:N12" si="7">D10</f>
        <v>0.72916666666666663</v>
      </c>
      <c r="O10" t="str">
        <f t="shared" ref="O10:O12" si="8">G10</f>
        <v>第二節PSG小組檢討</v>
      </c>
      <c r="P10" t="s">
        <v>23</v>
      </c>
      <c r="Q10" s="20">
        <f t="shared" ref="Q10:Q12" si="9">E10</f>
        <v>1</v>
      </c>
      <c r="R10" t="s">
        <v>22</v>
      </c>
      <c r="S10" t="s">
        <v>24</v>
      </c>
    </row>
    <row r="11" spans="1:19" ht="37.799999999999997" customHeight="1">
      <c r="A11" s="6">
        <v>45790</v>
      </c>
      <c r="B11" s="7" t="s">
        <v>14</v>
      </c>
      <c r="C11" s="8">
        <v>0.6875</v>
      </c>
      <c r="D11" s="8">
        <v>0.72916666666666663</v>
      </c>
      <c r="E11" s="9">
        <v>1</v>
      </c>
      <c r="F11" s="10">
        <v>6</v>
      </c>
      <c r="G11" s="124" t="s">
        <v>26</v>
      </c>
      <c r="H11" s="124"/>
      <c r="J11" s="11">
        <f t="shared" si="4"/>
        <v>45790</v>
      </c>
      <c r="K11" s="11" t="str">
        <f t="shared" si="5"/>
        <v>/</v>
      </c>
      <c r="L11" s="12">
        <f t="shared" si="6"/>
        <v>0.6875</v>
      </c>
      <c r="M11" t="s">
        <v>21</v>
      </c>
      <c r="N11" s="12">
        <f t="shared" si="7"/>
        <v>0.72916666666666663</v>
      </c>
      <c r="O11" t="str">
        <f t="shared" si="8"/>
        <v>第一節PSG小組檢討</v>
      </c>
      <c r="P11" t="s">
        <v>23</v>
      </c>
      <c r="Q11" s="20">
        <f t="shared" si="9"/>
        <v>1</v>
      </c>
      <c r="R11" t="s">
        <v>22</v>
      </c>
      <c r="S11" t="s">
        <v>24</v>
      </c>
    </row>
    <row r="12" spans="1:19" ht="38.25" customHeight="1">
      <c r="A12" s="6">
        <v>45792</v>
      </c>
      <c r="B12" s="7" t="s">
        <v>14</v>
      </c>
      <c r="C12" s="8">
        <v>0.39583333333333331</v>
      </c>
      <c r="D12" s="8">
        <v>0.52083333333333337</v>
      </c>
      <c r="E12" s="9">
        <v>3</v>
      </c>
      <c r="F12" s="10">
        <v>6</v>
      </c>
      <c r="G12" s="125" t="s">
        <v>28</v>
      </c>
      <c r="H12" s="126"/>
      <c r="J12" s="11">
        <f t="shared" si="4"/>
        <v>45792</v>
      </c>
      <c r="K12" s="11" t="str">
        <f>B12</f>
        <v>/</v>
      </c>
      <c r="L12" s="12">
        <f t="shared" si="6"/>
        <v>0.39583333333333331</v>
      </c>
      <c r="M12" t="s">
        <v>21</v>
      </c>
      <c r="N12" s="12">
        <f t="shared" si="7"/>
        <v>0.52083333333333337</v>
      </c>
      <c r="O12" t="str">
        <f t="shared" si="8"/>
        <v>PS月會</v>
      </c>
      <c r="P12" t="s">
        <v>23</v>
      </c>
      <c r="Q12" s="20">
        <f t="shared" si="9"/>
        <v>3</v>
      </c>
      <c r="R12" t="s">
        <v>22</v>
      </c>
      <c r="S12" t="s">
        <v>24</v>
      </c>
    </row>
  </sheetData>
  <mergeCells count="9">
    <mergeCell ref="G3:H3"/>
    <mergeCell ref="G4:H4"/>
    <mergeCell ref="G5:H5"/>
    <mergeCell ref="G11:H11"/>
    <mergeCell ref="G12:H12"/>
    <mergeCell ref="G6:H6"/>
    <mergeCell ref="G7:H7"/>
    <mergeCell ref="G8:H8"/>
    <mergeCell ref="G10:H10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421D-86D6-454E-BA04-D53067929464}">
  <dimension ref="A3:S12"/>
  <sheetViews>
    <sheetView topLeftCell="C1" workbookViewId="0">
      <selection activeCell="J4" sqref="J4:S4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38.25" customHeight="1">
      <c r="A3" s="6">
        <v>45855</v>
      </c>
      <c r="B3" s="7" t="s">
        <v>14</v>
      </c>
      <c r="C3" s="8">
        <v>0.39583333333333331</v>
      </c>
      <c r="D3" s="8">
        <v>0.52083333333333337</v>
      </c>
      <c r="E3" s="9">
        <v>3</v>
      </c>
      <c r="F3" s="10">
        <v>6</v>
      </c>
      <c r="G3" s="124" t="s">
        <v>28</v>
      </c>
      <c r="H3" s="124"/>
      <c r="J3" s="11">
        <f t="shared" ref="J3:L8" si="0">A3</f>
        <v>45855</v>
      </c>
      <c r="K3" s="11" t="str">
        <f t="shared" si="0"/>
        <v>/</v>
      </c>
      <c r="L3" s="12">
        <f>C3</f>
        <v>0.39583333333333331</v>
      </c>
      <c r="M3" t="s">
        <v>21</v>
      </c>
      <c r="N3" s="12">
        <f>D3</f>
        <v>0.52083333333333337</v>
      </c>
      <c r="O3" t="str">
        <f>G3</f>
        <v>PS月會</v>
      </c>
      <c r="P3" t="s">
        <v>23</v>
      </c>
      <c r="Q3" s="20">
        <f>E3</f>
        <v>3</v>
      </c>
      <c r="R3" t="s">
        <v>22</v>
      </c>
      <c r="S3" t="s">
        <v>24</v>
      </c>
    </row>
    <row r="4" spans="1:19" ht="38.25" customHeight="1">
      <c r="A4" s="6">
        <v>45855</v>
      </c>
      <c r="B4" s="7" t="s">
        <v>128</v>
      </c>
      <c r="C4" s="8">
        <v>0.54166666666666663</v>
      </c>
      <c r="D4" s="8">
        <v>0.58333333333333337</v>
      </c>
      <c r="E4" s="9">
        <v>1</v>
      </c>
      <c r="F4" s="10">
        <v>6</v>
      </c>
      <c r="G4" s="125" t="s">
        <v>129</v>
      </c>
      <c r="H4" s="126"/>
      <c r="J4" s="11">
        <f t="shared" si="0"/>
        <v>45855</v>
      </c>
      <c r="K4" s="11" t="str">
        <f t="shared" si="0"/>
        <v>/</v>
      </c>
      <c r="L4" s="12">
        <f t="shared" si="0"/>
        <v>0.54166666666666663</v>
      </c>
      <c r="M4" t="s">
        <v>21</v>
      </c>
      <c r="N4" s="12">
        <f t="shared" ref="N4:N8" si="1">D4</f>
        <v>0.58333333333333337</v>
      </c>
      <c r="O4" t="str">
        <f t="shared" ref="O4" si="2">G4</f>
        <v>WRAP小組準備</v>
      </c>
      <c r="P4" t="s">
        <v>23</v>
      </c>
      <c r="Q4" s="20">
        <f t="shared" ref="Q4:Q8" si="3">E4</f>
        <v>1</v>
      </c>
      <c r="R4" t="s">
        <v>22</v>
      </c>
      <c r="S4" t="s">
        <v>24</v>
      </c>
    </row>
    <row r="5" spans="1:19" ht="38.25" customHeight="1">
      <c r="A5" s="6">
        <v>45841</v>
      </c>
      <c r="B5" s="7" t="s">
        <v>130</v>
      </c>
      <c r="C5" s="8">
        <v>0.63541666666666663</v>
      </c>
      <c r="D5" s="8">
        <v>0.69791666666666663</v>
      </c>
      <c r="E5" s="9">
        <v>1.5</v>
      </c>
      <c r="F5" s="10">
        <v>1</v>
      </c>
      <c r="G5" s="125"/>
      <c r="H5" s="126"/>
      <c r="J5" s="11">
        <f t="shared" si="0"/>
        <v>45841</v>
      </c>
      <c r="K5" s="11" t="str">
        <f t="shared" si="0"/>
        <v>方秀蘭</v>
      </c>
      <c r="L5" s="12">
        <f t="shared" si="0"/>
        <v>0.63541666666666663</v>
      </c>
      <c r="M5" t="s">
        <v>21</v>
      </c>
      <c r="N5" s="12">
        <f t="shared" si="1"/>
        <v>0.69791666666666663</v>
      </c>
      <c r="O5" s="52" t="s">
        <v>107</v>
      </c>
      <c r="P5" t="s">
        <v>23</v>
      </c>
      <c r="Q5" s="20">
        <f t="shared" si="3"/>
        <v>1.5</v>
      </c>
      <c r="R5" t="s">
        <v>22</v>
      </c>
      <c r="S5" t="s">
        <v>24</v>
      </c>
    </row>
    <row r="6" spans="1:19" ht="38.25" customHeight="1">
      <c r="A6" s="6">
        <v>45858</v>
      </c>
      <c r="B6" s="7" t="s">
        <v>130</v>
      </c>
      <c r="C6" s="8">
        <v>0.41666666666666669</v>
      </c>
      <c r="D6" s="8">
        <v>0.45833333333333331</v>
      </c>
      <c r="E6" s="9">
        <v>1</v>
      </c>
      <c r="F6" s="10">
        <v>1</v>
      </c>
      <c r="G6" s="124"/>
      <c r="H6" s="124"/>
      <c r="J6" s="11">
        <f t="shared" si="0"/>
        <v>45858</v>
      </c>
      <c r="K6" s="11" t="str">
        <f t="shared" si="0"/>
        <v>方秀蘭</v>
      </c>
      <c r="L6" s="12">
        <f t="shared" si="0"/>
        <v>0.41666666666666669</v>
      </c>
      <c r="M6" t="s">
        <v>21</v>
      </c>
      <c r="N6" s="12">
        <f t="shared" si="1"/>
        <v>0.45833333333333331</v>
      </c>
      <c r="O6" s="52" t="s">
        <v>107</v>
      </c>
      <c r="P6" t="s">
        <v>23</v>
      </c>
      <c r="Q6" s="20">
        <f t="shared" si="3"/>
        <v>1</v>
      </c>
      <c r="R6" t="s">
        <v>22</v>
      </c>
      <c r="S6" t="s">
        <v>24</v>
      </c>
    </row>
    <row r="7" spans="1:19" ht="46.2" customHeight="1">
      <c r="A7" s="6">
        <v>45859</v>
      </c>
      <c r="B7" s="7" t="s">
        <v>130</v>
      </c>
      <c r="C7" s="8">
        <v>0.875</v>
      </c>
      <c r="D7" s="8">
        <v>0.9375</v>
      </c>
      <c r="E7" s="9">
        <v>1.5</v>
      </c>
      <c r="F7" s="10">
        <v>1</v>
      </c>
      <c r="G7" s="124"/>
      <c r="H7" s="124"/>
      <c r="J7" s="11">
        <f t="shared" si="0"/>
        <v>45859</v>
      </c>
      <c r="K7" s="11" t="str">
        <f t="shared" si="0"/>
        <v>方秀蘭</v>
      </c>
      <c r="L7" s="12">
        <f t="shared" si="0"/>
        <v>0.875</v>
      </c>
      <c r="M7" t="s">
        <v>21</v>
      </c>
      <c r="N7" s="12">
        <f t="shared" si="1"/>
        <v>0.9375</v>
      </c>
      <c r="O7" s="52" t="s">
        <v>107</v>
      </c>
      <c r="P7" t="s">
        <v>23</v>
      </c>
      <c r="Q7" s="20">
        <f t="shared" si="3"/>
        <v>1.5</v>
      </c>
      <c r="R7" t="s">
        <v>22</v>
      </c>
      <c r="S7" t="s">
        <v>24</v>
      </c>
    </row>
    <row r="8" spans="1:19" ht="38.25" customHeight="1">
      <c r="A8" s="6">
        <v>45860</v>
      </c>
      <c r="B8" s="7" t="s">
        <v>130</v>
      </c>
      <c r="C8" s="8">
        <v>0.4375</v>
      </c>
      <c r="D8" s="8">
        <v>0.5</v>
      </c>
      <c r="E8" s="9">
        <v>1.5</v>
      </c>
      <c r="F8" s="10">
        <v>1</v>
      </c>
      <c r="G8" s="124"/>
      <c r="H8" s="124"/>
      <c r="J8" s="11">
        <f t="shared" si="0"/>
        <v>45860</v>
      </c>
      <c r="K8" s="11" t="str">
        <f t="shared" si="0"/>
        <v>方秀蘭</v>
      </c>
      <c r="L8" s="12">
        <f t="shared" si="0"/>
        <v>0.4375</v>
      </c>
      <c r="M8" t="s">
        <v>21</v>
      </c>
      <c r="N8" s="12">
        <f t="shared" si="1"/>
        <v>0.5</v>
      </c>
      <c r="O8" s="52" t="s">
        <v>107</v>
      </c>
      <c r="P8" t="s">
        <v>23</v>
      </c>
      <c r="Q8" s="20">
        <f t="shared" si="3"/>
        <v>1.5</v>
      </c>
      <c r="R8" t="s">
        <v>22</v>
      </c>
      <c r="S8" t="s">
        <v>24</v>
      </c>
    </row>
    <row r="9" spans="1:19" ht="21.6">
      <c r="A9" s="6">
        <v>45863</v>
      </c>
      <c r="B9" s="7" t="s">
        <v>130</v>
      </c>
      <c r="C9" s="8">
        <v>0.625</v>
      </c>
      <c r="D9" s="8">
        <v>0.6875</v>
      </c>
      <c r="E9" s="9">
        <v>1.5</v>
      </c>
      <c r="F9" s="10">
        <v>1</v>
      </c>
      <c r="G9" s="124"/>
      <c r="H9" s="124"/>
    </row>
    <row r="10" spans="1:19" ht="38.25" customHeight="1">
      <c r="A10" s="6"/>
      <c r="B10" s="7"/>
      <c r="C10" s="8"/>
      <c r="D10" s="8"/>
      <c r="E10" s="9"/>
      <c r="F10" s="10"/>
      <c r="G10" s="124"/>
      <c r="H10" s="124"/>
      <c r="J10" s="11">
        <f t="shared" ref="J10:L12" si="4">A10</f>
        <v>0</v>
      </c>
      <c r="K10" s="11">
        <f t="shared" si="4"/>
        <v>0</v>
      </c>
      <c r="L10" s="12">
        <f t="shared" si="4"/>
        <v>0</v>
      </c>
      <c r="M10" t="s">
        <v>21</v>
      </c>
      <c r="N10" s="12">
        <f t="shared" ref="N10:N12" si="5">D10</f>
        <v>0</v>
      </c>
      <c r="O10">
        <f t="shared" ref="O10:O12" si="6">G10</f>
        <v>0</v>
      </c>
      <c r="P10" t="s">
        <v>23</v>
      </c>
      <c r="Q10" s="20">
        <f t="shared" ref="Q10:Q12" si="7">E10</f>
        <v>0</v>
      </c>
      <c r="R10" t="s">
        <v>22</v>
      </c>
      <c r="S10" t="s">
        <v>24</v>
      </c>
    </row>
    <row r="11" spans="1:19" ht="37.799999999999997" customHeight="1">
      <c r="A11" s="6"/>
      <c r="B11" s="7"/>
      <c r="C11" s="8"/>
      <c r="D11" s="8"/>
      <c r="E11" s="9"/>
      <c r="F11" s="10"/>
      <c r="G11" s="124"/>
      <c r="H11" s="124"/>
      <c r="J11" s="11">
        <f t="shared" si="4"/>
        <v>0</v>
      </c>
      <c r="K11" s="11">
        <f t="shared" si="4"/>
        <v>0</v>
      </c>
      <c r="L11" s="12">
        <f t="shared" si="4"/>
        <v>0</v>
      </c>
      <c r="M11" t="s">
        <v>21</v>
      </c>
      <c r="N11" s="12">
        <f t="shared" si="5"/>
        <v>0</v>
      </c>
      <c r="O11">
        <f t="shared" si="6"/>
        <v>0</v>
      </c>
      <c r="P11" t="s">
        <v>23</v>
      </c>
      <c r="Q11" s="20">
        <f t="shared" si="7"/>
        <v>0</v>
      </c>
      <c r="R11" t="s">
        <v>22</v>
      </c>
      <c r="S11" t="s">
        <v>24</v>
      </c>
    </row>
    <row r="12" spans="1:19" ht="38.25" customHeight="1">
      <c r="A12" s="6"/>
      <c r="B12" s="7"/>
      <c r="C12" s="8"/>
      <c r="D12" s="8"/>
      <c r="E12" s="9"/>
      <c r="F12" s="10"/>
      <c r="G12" s="125"/>
      <c r="H12" s="126"/>
      <c r="J12" s="11">
        <f t="shared" si="4"/>
        <v>0</v>
      </c>
      <c r="K12" s="11">
        <f>B12</f>
        <v>0</v>
      </c>
      <c r="L12" s="12">
        <f t="shared" si="4"/>
        <v>0</v>
      </c>
      <c r="M12" t="s">
        <v>21</v>
      </c>
      <c r="N12" s="12">
        <f t="shared" si="5"/>
        <v>0</v>
      </c>
      <c r="O12">
        <f t="shared" si="6"/>
        <v>0</v>
      </c>
      <c r="P12" t="s">
        <v>23</v>
      </c>
      <c r="Q12" s="20">
        <f t="shared" si="7"/>
        <v>0</v>
      </c>
      <c r="R12" t="s">
        <v>22</v>
      </c>
      <c r="S12" t="s">
        <v>24</v>
      </c>
    </row>
  </sheetData>
  <mergeCells count="10">
    <mergeCell ref="G10:H10"/>
    <mergeCell ref="G11:H11"/>
    <mergeCell ref="G12:H12"/>
    <mergeCell ref="G9:H9"/>
    <mergeCell ref="G3:H3"/>
    <mergeCell ref="G4:H4"/>
    <mergeCell ref="G5:H5"/>
    <mergeCell ref="G6:H6"/>
    <mergeCell ref="G7:H7"/>
    <mergeCell ref="G8:H8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FC16-1F7D-4C22-910F-C4D61FDE8E9E}">
  <dimension ref="A3:S12"/>
  <sheetViews>
    <sheetView topLeftCell="A4" workbookViewId="0">
      <selection activeCell="Q3" sqref="Q3:Q6"/>
    </sheetView>
  </sheetViews>
  <sheetFormatPr defaultRowHeight="16.2"/>
  <cols>
    <col min="1" max="1" width="20.88671875" customWidth="1"/>
    <col min="2" max="2" width="16.44140625" customWidth="1"/>
    <col min="3" max="4" width="14.44140625" customWidth="1"/>
    <col min="8" max="8" width="27.21875" customWidth="1"/>
    <col min="10" max="10" width="9.6640625" bestFit="1" customWidth="1"/>
    <col min="11" max="11" width="9.6640625" customWidth="1"/>
    <col min="12" max="12" width="9" customWidth="1"/>
    <col min="15" max="15" width="21.88671875" customWidth="1"/>
    <col min="16" max="16" width="3.21875" customWidth="1"/>
    <col min="17" max="17" width="7" style="20" customWidth="1"/>
    <col min="18" max="18" width="3.21875" customWidth="1"/>
  </cols>
  <sheetData>
    <row r="3" spans="1:19" ht="38.25" customHeight="1">
      <c r="A3" s="6">
        <v>45803</v>
      </c>
      <c r="B3" s="7" t="s">
        <v>14</v>
      </c>
      <c r="C3" s="8">
        <v>0.47916666666666669</v>
      </c>
      <c r="D3" s="8">
        <v>0.60416666666666663</v>
      </c>
      <c r="E3" s="9">
        <v>3</v>
      </c>
      <c r="F3" s="10">
        <v>6</v>
      </c>
      <c r="G3" s="124" t="s">
        <v>15</v>
      </c>
      <c r="H3" s="124"/>
      <c r="J3" s="11">
        <f t="shared" ref="J3:L8" si="0">A3</f>
        <v>45803</v>
      </c>
      <c r="K3" s="11" t="str">
        <f t="shared" si="0"/>
        <v>/</v>
      </c>
      <c r="L3" s="12">
        <f>C3</f>
        <v>0.47916666666666669</v>
      </c>
      <c r="M3" t="s">
        <v>21</v>
      </c>
      <c r="N3" s="12">
        <f>D3</f>
        <v>0.60416666666666663</v>
      </c>
      <c r="O3" t="str">
        <f>G3</f>
        <v>第三節PSG小組準備</v>
      </c>
      <c r="P3" t="s">
        <v>23</v>
      </c>
      <c r="Q3" s="20">
        <f>E3</f>
        <v>3</v>
      </c>
      <c r="R3" t="s">
        <v>22</v>
      </c>
      <c r="S3" t="s">
        <v>24</v>
      </c>
    </row>
    <row r="4" spans="1:19" ht="38.25" customHeight="1">
      <c r="A4" s="6">
        <v>45797</v>
      </c>
      <c r="B4" s="7" t="s">
        <v>14</v>
      </c>
      <c r="C4" s="8">
        <v>0.60416666666666663</v>
      </c>
      <c r="D4" s="8">
        <v>0.6875</v>
      </c>
      <c r="E4" s="9">
        <v>2</v>
      </c>
      <c r="F4" s="10">
        <v>6</v>
      </c>
      <c r="G4" s="124" t="s">
        <v>16</v>
      </c>
      <c r="H4" s="124"/>
      <c r="J4" s="11">
        <f t="shared" si="0"/>
        <v>45797</v>
      </c>
      <c r="K4" s="11" t="str">
        <f t="shared" si="0"/>
        <v>/</v>
      </c>
      <c r="L4" s="12">
        <f t="shared" si="0"/>
        <v>0.60416666666666663</v>
      </c>
      <c r="M4" t="s">
        <v>21</v>
      </c>
      <c r="N4" s="12">
        <f t="shared" ref="N4:N8" si="1">D4</f>
        <v>0.6875</v>
      </c>
      <c r="O4" t="str">
        <f t="shared" ref="O4:O8" si="2">G4</f>
        <v>第二節PSG小組</v>
      </c>
      <c r="P4" t="s">
        <v>23</v>
      </c>
      <c r="Q4" s="20">
        <f t="shared" ref="Q4:Q8" si="3">E4</f>
        <v>2</v>
      </c>
      <c r="R4" t="s">
        <v>22</v>
      </c>
      <c r="S4" t="s">
        <v>24</v>
      </c>
    </row>
    <row r="5" spans="1:19" ht="38.25" customHeight="1">
      <c r="A5" s="6">
        <v>45797</v>
      </c>
      <c r="B5" s="7" t="s">
        <v>14</v>
      </c>
      <c r="C5" s="8">
        <v>0.47916666666666669</v>
      </c>
      <c r="D5" s="8">
        <v>0.60416666666666663</v>
      </c>
      <c r="E5" s="9">
        <v>3</v>
      </c>
      <c r="F5" s="10">
        <v>6</v>
      </c>
      <c r="G5" s="124" t="s">
        <v>17</v>
      </c>
      <c r="H5" s="124"/>
      <c r="J5" s="11">
        <f t="shared" si="0"/>
        <v>45797</v>
      </c>
      <c r="K5" s="11" t="str">
        <f t="shared" si="0"/>
        <v>/</v>
      </c>
      <c r="L5" s="12">
        <f t="shared" si="0"/>
        <v>0.47916666666666669</v>
      </c>
      <c r="M5" t="s">
        <v>21</v>
      </c>
      <c r="N5" s="12">
        <f t="shared" si="1"/>
        <v>0.60416666666666663</v>
      </c>
      <c r="O5" t="str">
        <f t="shared" si="2"/>
        <v>第二節PSG小組準備</v>
      </c>
      <c r="P5" t="s">
        <v>23</v>
      </c>
      <c r="Q5" s="20">
        <f t="shared" si="3"/>
        <v>3</v>
      </c>
      <c r="R5" t="s">
        <v>22</v>
      </c>
      <c r="S5" t="s">
        <v>24</v>
      </c>
    </row>
    <row r="6" spans="1:19" ht="38.25" customHeight="1">
      <c r="A6" s="6">
        <v>45790</v>
      </c>
      <c r="B6" s="7" t="s">
        <v>14</v>
      </c>
      <c r="C6" s="8">
        <v>0.60416666666666663</v>
      </c>
      <c r="D6" s="8">
        <v>0.6875</v>
      </c>
      <c r="E6" s="9">
        <v>2</v>
      </c>
      <c r="F6" s="10">
        <v>6</v>
      </c>
      <c r="G6" s="124" t="s">
        <v>18</v>
      </c>
      <c r="H6" s="124"/>
      <c r="J6" s="11">
        <f t="shared" si="0"/>
        <v>45790</v>
      </c>
      <c r="K6" s="11" t="str">
        <f t="shared" si="0"/>
        <v>/</v>
      </c>
      <c r="L6" s="12">
        <f t="shared" si="0"/>
        <v>0.60416666666666663</v>
      </c>
      <c r="M6" t="s">
        <v>21</v>
      </c>
      <c r="N6" s="12">
        <f t="shared" si="1"/>
        <v>0.6875</v>
      </c>
      <c r="O6" t="str">
        <f t="shared" si="2"/>
        <v>第一節PSG小組</v>
      </c>
      <c r="P6" t="s">
        <v>23</v>
      </c>
      <c r="Q6" s="20">
        <f t="shared" si="3"/>
        <v>2</v>
      </c>
      <c r="R6" t="s">
        <v>22</v>
      </c>
      <c r="S6" t="s">
        <v>24</v>
      </c>
    </row>
    <row r="7" spans="1:19" ht="46.2" customHeight="1">
      <c r="A7" s="6">
        <v>45790</v>
      </c>
      <c r="B7" s="7" t="s">
        <v>14</v>
      </c>
      <c r="C7" s="8">
        <v>0.39583333333333331</v>
      </c>
      <c r="D7" s="8">
        <v>0.60416666666666663</v>
      </c>
      <c r="E7" s="9">
        <v>5</v>
      </c>
      <c r="F7" s="10">
        <v>6</v>
      </c>
      <c r="G7" s="124" t="s">
        <v>19</v>
      </c>
      <c r="H7" s="124"/>
      <c r="J7" s="11">
        <f t="shared" si="0"/>
        <v>45790</v>
      </c>
      <c r="K7" s="11" t="str">
        <f t="shared" si="0"/>
        <v>/</v>
      </c>
      <c r="L7" s="12">
        <f t="shared" si="0"/>
        <v>0.39583333333333331</v>
      </c>
      <c r="M7" t="s">
        <v>21</v>
      </c>
      <c r="N7" s="12">
        <f t="shared" si="1"/>
        <v>0.60416666666666663</v>
      </c>
      <c r="O7" t="str">
        <f t="shared" si="2"/>
        <v>第一節PSG小組準備</v>
      </c>
      <c r="P7" t="s">
        <v>23</v>
      </c>
      <c r="Q7" s="20">
        <f t="shared" si="3"/>
        <v>5</v>
      </c>
      <c r="R7" t="s">
        <v>22</v>
      </c>
      <c r="S7" t="s">
        <v>24</v>
      </c>
    </row>
    <row r="8" spans="1:19" ht="38.25" customHeight="1">
      <c r="A8" s="6">
        <v>45789</v>
      </c>
      <c r="B8" s="7" t="s">
        <v>14</v>
      </c>
      <c r="C8" s="8">
        <v>0.45833333333333331</v>
      </c>
      <c r="D8" s="8">
        <v>0.5</v>
      </c>
      <c r="E8" s="9">
        <v>1</v>
      </c>
      <c r="F8" s="10">
        <v>6</v>
      </c>
      <c r="G8" s="124" t="s">
        <v>20</v>
      </c>
      <c r="H8" s="124"/>
      <c r="J8" s="11">
        <f t="shared" si="0"/>
        <v>45789</v>
      </c>
      <c r="K8" s="11" t="str">
        <f t="shared" si="0"/>
        <v>/</v>
      </c>
      <c r="L8" s="12">
        <f t="shared" si="0"/>
        <v>0.45833333333333331</v>
      </c>
      <c r="M8" t="s">
        <v>21</v>
      </c>
      <c r="N8" s="12">
        <f t="shared" si="1"/>
        <v>0.5</v>
      </c>
      <c r="O8" t="str">
        <f t="shared" si="2"/>
        <v>協助填寫PSG 網上問卷</v>
      </c>
      <c r="P8" t="s">
        <v>23</v>
      </c>
      <c r="Q8" s="20">
        <f t="shared" si="3"/>
        <v>1</v>
      </c>
      <c r="R8" t="s">
        <v>22</v>
      </c>
      <c r="S8" t="s">
        <v>24</v>
      </c>
    </row>
    <row r="10" spans="1:19" ht="38.25" customHeight="1">
      <c r="A10" s="6">
        <v>45797</v>
      </c>
      <c r="B10" s="7" t="s">
        <v>14</v>
      </c>
      <c r="C10" s="8">
        <v>0.6875</v>
      </c>
      <c r="D10" s="8">
        <v>0.72916666666666663</v>
      </c>
      <c r="E10" s="9">
        <v>1</v>
      </c>
      <c r="F10" s="10">
        <v>6</v>
      </c>
      <c r="G10" s="124" t="s">
        <v>25</v>
      </c>
      <c r="H10" s="124"/>
      <c r="J10" s="11">
        <f t="shared" ref="J10:L12" si="4">A10</f>
        <v>45797</v>
      </c>
      <c r="K10" s="11" t="str">
        <f t="shared" si="4"/>
        <v>/</v>
      </c>
      <c r="L10" s="12">
        <f t="shared" si="4"/>
        <v>0.6875</v>
      </c>
      <c r="M10" t="s">
        <v>21</v>
      </c>
      <c r="N10" s="12">
        <f t="shared" ref="N10:N12" si="5">D10</f>
        <v>0.72916666666666663</v>
      </c>
      <c r="O10" t="str">
        <f t="shared" ref="O10:O12" si="6">G10</f>
        <v>第二節PSG小組檢討</v>
      </c>
      <c r="P10" t="s">
        <v>23</v>
      </c>
      <c r="Q10" s="20">
        <f t="shared" ref="Q10:Q12" si="7">E10</f>
        <v>1</v>
      </c>
      <c r="R10" t="s">
        <v>22</v>
      </c>
      <c r="S10" t="s">
        <v>24</v>
      </c>
    </row>
    <row r="11" spans="1:19" ht="37.799999999999997" customHeight="1">
      <c r="A11" s="6">
        <v>45790</v>
      </c>
      <c r="B11" s="7" t="s">
        <v>14</v>
      </c>
      <c r="C11" s="8">
        <v>0.6875</v>
      </c>
      <c r="D11" s="8">
        <v>0.72916666666666663</v>
      </c>
      <c r="E11" s="9">
        <v>1</v>
      </c>
      <c r="F11" s="10">
        <v>6</v>
      </c>
      <c r="G11" s="124" t="s">
        <v>26</v>
      </c>
      <c r="H11" s="124"/>
      <c r="J11" s="11">
        <f t="shared" si="4"/>
        <v>45790</v>
      </c>
      <c r="K11" s="11" t="str">
        <f t="shared" si="4"/>
        <v>/</v>
      </c>
      <c r="L11" s="12">
        <f t="shared" si="4"/>
        <v>0.6875</v>
      </c>
      <c r="M11" t="s">
        <v>21</v>
      </c>
      <c r="N11" s="12">
        <f t="shared" si="5"/>
        <v>0.72916666666666663</v>
      </c>
      <c r="O11" t="str">
        <f t="shared" si="6"/>
        <v>第一節PSG小組檢討</v>
      </c>
      <c r="P11" t="s">
        <v>23</v>
      </c>
      <c r="Q11" s="20">
        <f t="shared" si="7"/>
        <v>1</v>
      </c>
      <c r="R11" t="s">
        <v>22</v>
      </c>
      <c r="S11" t="s">
        <v>24</v>
      </c>
    </row>
    <row r="12" spans="1:19" ht="38.25" customHeight="1">
      <c r="A12" s="6">
        <v>45792</v>
      </c>
      <c r="B12" s="7" t="s">
        <v>14</v>
      </c>
      <c r="C12" s="8">
        <v>0.39583333333333331</v>
      </c>
      <c r="D12" s="8">
        <v>0.52083333333333337</v>
      </c>
      <c r="E12" s="9">
        <v>3</v>
      </c>
      <c r="F12" s="10">
        <v>6</v>
      </c>
      <c r="G12" s="125" t="s">
        <v>28</v>
      </c>
      <c r="H12" s="126"/>
      <c r="J12" s="11">
        <f t="shared" si="4"/>
        <v>45792</v>
      </c>
      <c r="K12" s="11" t="str">
        <f>B12</f>
        <v>/</v>
      </c>
      <c r="L12" s="12">
        <f t="shared" si="4"/>
        <v>0.39583333333333331</v>
      </c>
      <c r="M12" t="s">
        <v>21</v>
      </c>
      <c r="N12" s="12">
        <f t="shared" si="5"/>
        <v>0.52083333333333337</v>
      </c>
      <c r="O12" t="str">
        <f t="shared" si="6"/>
        <v>PS月會</v>
      </c>
      <c r="P12" t="s">
        <v>23</v>
      </c>
      <c r="Q12" s="20">
        <f t="shared" si="7"/>
        <v>3</v>
      </c>
      <c r="R12" t="s">
        <v>22</v>
      </c>
      <c r="S12" t="s">
        <v>24</v>
      </c>
    </row>
  </sheetData>
  <mergeCells count="9">
    <mergeCell ref="G10:H10"/>
    <mergeCell ref="G11:H11"/>
    <mergeCell ref="G12:H12"/>
    <mergeCell ref="G3:H3"/>
    <mergeCell ref="G4:H4"/>
    <mergeCell ref="G5:H5"/>
    <mergeCell ref="G6:H6"/>
    <mergeCell ref="G7:H7"/>
    <mergeCell ref="G8:H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Master_Allowance</vt:lpstr>
      <vt:lpstr>Q1_Code </vt:lpstr>
      <vt:lpstr>Q2_Code</vt:lpstr>
      <vt:lpstr>找數比總會</vt:lpstr>
      <vt:lpstr>連鳳儀</vt:lpstr>
      <vt:lpstr>張瑞虹</vt:lpstr>
      <vt:lpstr>張瑞兒</vt:lpstr>
      <vt:lpstr>張詠蘭</vt:lpstr>
      <vt:lpstr>蔡健文</vt:lpstr>
      <vt:lpstr>聶桂芳</vt:lpstr>
      <vt:lpstr>區王玉琴</vt:lpstr>
      <vt:lpstr>陳玉玲</vt:lpstr>
      <vt:lpstr>杜群芳</vt:lpstr>
      <vt:lpstr>高秀珍</vt:lpstr>
      <vt:lpstr>陳好定</vt:lpstr>
      <vt:lpstr>李嘉俊</vt:lpstr>
      <vt:lpstr>彭錦華</vt:lpstr>
      <vt:lpstr>楊耀榮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Ho Yin</dc:creator>
  <cp:lastModifiedBy>Wong Ho Yin</cp:lastModifiedBy>
  <cp:lastPrinted>2025-10-03T08:17:39Z</cp:lastPrinted>
  <dcterms:created xsi:type="dcterms:W3CDTF">2025-06-18T01:55:35Z</dcterms:created>
  <dcterms:modified xsi:type="dcterms:W3CDTF">2026-06-17T02:25:23Z</dcterms:modified>
</cp:coreProperties>
</file>